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65b59e52a21d66fc/Escritorio/PVU/SARAMPIÓN/BLOQUEOS VACUNALES/BLOQUEOS VACUNALES 2026/VACUNACIÓN MEZQUITAL 2026/"/>
    </mc:Choice>
  </mc:AlternateContent>
  <xr:revisionPtr revIDLastSave="0" documentId="8_{07F1243D-D865-4865-9ED6-ED6FA7AC8547}" xr6:coauthVersionLast="47" xr6:coauthVersionMax="47" xr10:uidLastSave="{00000000-0000-0000-0000-000000000000}"/>
  <bookViews>
    <workbookView xWindow="-110" yWindow="-110" windowWidth="19420" windowHeight="12220" firstSheet="1" activeTab="2" xr2:uid="{00000000-000D-0000-FFFF-FFFF00000000}"/>
  </bookViews>
  <sheets>
    <sheet name="Instructivo" sheetId="4" r:id="rId1"/>
    <sheet name="Formato bloqueo barrido" sheetId="3" r:id="rId2"/>
    <sheet name="Concentrado" sheetId="1" r:id="rId3"/>
  </sheets>
  <definedNames>
    <definedName name="_xlnm.Print_Area" localSheetId="1">'Formato bloqueo barrido'!$B$2:$BB$49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K4" i="1" l="1"/>
  <c r="BJ39" i="1" l="1"/>
  <c r="BJ38" i="1"/>
  <c r="BJ37" i="1"/>
  <c r="BJ36" i="1"/>
  <c r="BJ33" i="1" l="1"/>
  <c r="BB33" i="1"/>
  <c r="AI33" i="1"/>
  <c r="BJ32" i="1"/>
  <c r="BB32" i="1"/>
  <c r="AI32" i="1"/>
  <c r="BJ31" i="1"/>
  <c r="BB31" i="1"/>
  <c r="AI31" i="1"/>
  <c r="BJ30" i="1"/>
  <c r="BB30" i="1"/>
  <c r="AI30" i="1"/>
  <c r="CA29" i="1" l="1"/>
  <c r="BJ29" i="1"/>
  <c r="BB29" i="1"/>
  <c r="AS29" i="1"/>
  <c r="AI29" i="1"/>
  <c r="Y29" i="1"/>
  <c r="CA28" i="1"/>
  <c r="CA4" i="1" s="1"/>
  <c r="BJ28" i="1"/>
  <c r="BB28" i="1"/>
  <c r="AS28" i="1"/>
  <c r="AI28" i="1"/>
  <c r="Y28" i="1"/>
  <c r="CA27" i="1"/>
  <c r="BJ27" i="1"/>
  <c r="BB27" i="1"/>
  <c r="AS27" i="1"/>
  <c r="AI27" i="1"/>
  <c r="Y27" i="1"/>
  <c r="CA26" i="1"/>
  <c r="BJ26" i="1"/>
  <c r="BB26" i="1"/>
  <c r="AS26" i="1"/>
  <c r="AI26" i="1"/>
  <c r="Y26" i="1"/>
  <c r="CA25" i="1"/>
  <c r="BJ25" i="1"/>
  <c r="BB25" i="1"/>
  <c r="AS25" i="1"/>
  <c r="AI25" i="1"/>
  <c r="Y25" i="1"/>
  <c r="CA24" i="1"/>
  <c r="BJ24" i="1"/>
  <c r="BB24" i="1"/>
  <c r="AS24" i="1"/>
  <c r="AI24" i="1"/>
  <c r="Y24" i="1"/>
  <c r="CA23" i="1"/>
  <c r="BJ23" i="1"/>
  <c r="BB23" i="1"/>
  <c r="AS23" i="1"/>
  <c r="AI23" i="1"/>
  <c r="Y23" i="1"/>
  <c r="CA22" i="1"/>
  <c r="BJ22" i="1"/>
  <c r="BB22" i="1"/>
  <c r="AS22" i="1"/>
  <c r="AI22" i="1"/>
  <c r="Y22" i="1"/>
  <c r="CA21" i="1"/>
  <c r="BJ21" i="1"/>
  <c r="BB21" i="1"/>
  <c r="AS21" i="1"/>
  <c r="AI21" i="1"/>
  <c r="Y21" i="1"/>
  <c r="CA20" i="1"/>
  <c r="BJ20" i="1"/>
  <c r="BB20" i="1"/>
  <c r="AS20" i="1"/>
  <c r="AI20" i="1"/>
  <c r="Y20" i="1"/>
  <c r="CA19" i="1"/>
  <c r="BB19" i="1"/>
  <c r="AS19" i="1"/>
  <c r="AI19" i="1"/>
  <c r="Y19" i="1"/>
  <c r="CA18" i="1"/>
  <c r="BJ18" i="1"/>
  <c r="BB18" i="1"/>
  <c r="AS18" i="1"/>
  <c r="AI18" i="1"/>
  <c r="Y18" i="1"/>
  <c r="CA17" i="1"/>
  <c r="BJ17" i="1"/>
  <c r="BB17" i="1"/>
  <c r="AS17" i="1"/>
  <c r="AI17" i="1"/>
  <c r="Y17" i="1"/>
  <c r="CA16" i="1"/>
  <c r="BJ16" i="1"/>
  <c r="BB16" i="1"/>
  <c r="AS16" i="1"/>
  <c r="AI16" i="1"/>
  <c r="Y16" i="1"/>
  <c r="CA15" i="1"/>
  <c r="BJ15" i="1"/>
  <c r="BB15" i="1"/>
  <c r="AS15" i="1"/>
  <c r="AI15" i="1"/>
  <c r="Y15" i="1"/>
  <c r="CA14" i="1"/>
  <c r="BJ14" i="1"/>
  <c r="BB14" i="1"/>
  <c r="AS14" i="1"/>
  <c r="AI14" i="1"/>
  <c r="Y14" i="1"/>
  <c r="CA13" i="1"/>
  <c r="BJ13" i="1"/>
  <c r="BB13" i="1"/>
  <c r="AS13" i="1"/>
  <c r="AI13" i="1"/>
  <c r="Y13" i="1"/>
  <c r="CA12" i="1"/>
  <c r="BJ12" i="1"/>
  <c r="BB12" i="1"/>
  <c r="AS12" i="1"/>
  <c r="AI12" i="1"/>
  <c r="Y12" i="1"/>
  <c r="CA11" i="1"/>
  <c r="BJ11" i="1"/>
  <c r="BB11" i="1"/>
  <c r="AS11" i="1"/>
  <c r="AI11" i="1"/>
  <c r="Y11" i="1"/>
  <c r="CA10" i="1"/>
  <c r="BJ10" i="1"/>
  <c r="BB10" i="1"/>
  <c r="AS10" i="1"/>
  <c r="AI10" i="1"/>
  <c r="Y10" i="1"/>
  <c r="CA9" i="1"/>
  <c r="BJ9" i="1"/>
  <c r="BB9" i="1"/>
  <c r="AS9" i="1"/>
  <c r="AI9" i="1"/>
  <c r="Y9" i="1"/>
  <c r="CA8" i="1"/>
  <c r="BJ8" i="1"/>
  <c r="BB8" i="1"/>
  <c r="AS8" i="1"/>
  <c r="AI8" i="1"/>
  <c r="Y8" i="1"/>
  <c r="CA7" i="1"/>
  <c r="BJ7" i="1"/>
  <c r="BB7" i="1"/>
  <c r="AS7" i="1"/>
  <c r="AI7" i="1"/>
  <c r="Y7" i="1"/>
  <c r="CA6" i="1"/>
  <c r="BJ6" i="1"/>
  <c r="BB6" i="1"/>
  <c r="AS6" i="1"/>
  <c r="AI6" i="1"/>
  <c r="Y6" i="1"/>
  <c r="CA5" i="1"/>
  <c r="BJ5" i="1"/>
  <c r="BB5" i="1"/>
  <c r="AS5" i="1"/>
  <c r="AI5" i="1"/>
  <c r="Y5" i="1"/>
  <c r="BZ4" i="1"/>
  <c r="BY4" i="1"/>
  <c r="BX4" i="1"/>
  <c r="BW4" i="1"/>
  <c r="BV4" i="1"/>
  <c r="BU4" i="1"/>
  <c r="BT4" i="1"/>
  <c r="BS4" i="1"/>
  <c r="BR4" i="1"/>
  <c r="BQ4" i="1"/>
  <c r="BP4" i="1"/>
  <c r="BO4" i="1"/>
  <c r="BN4" i="1"/>
  <c r="BM4" i="1"/>
  <c r="BL4" i="1"/>
  <c r="BI4" i="1"/>
  <c r="BH4" i="1"/>
  <c r="BG4" i="1"/>
  <c r="BF4" i="1"/>
  <c r="BE4" i="1"/>
  <c r="BD4" i="1"/>
  <c r="BC4" i="1"/>
  <c r="BA4" i="1"/>
  <c r="AZ4" i="1"/>
  <c r="AY4" i="1"/>
  <c r="AX4" i="1"/>
  <c r="AW4" i="1"/>
  <c r="AV4" i="1"/>
  <c r="AU4" i="1"/>
  <c r="AT4" i="1"/>
  <c r="AR4" i="1"/>
  <c r="AQ4" i="1"/>
  <c r="AP4" i="1"/>
  <c r="AO4" i="1"/>
  <c r="AN4" i="1"/>
  <c r="AM4" i="1"/>
  <c r="AL4" i="1"/>
  <c r="AK4" i="1"/>
  <c r="AJ4" i="1"/>
  <c r="AH4" i="1"/>
  <c r="AG4" i="1"/>
  <c r="AF4" i="1"/>
  <c r="AE4" i="1"/>
  <c r="AD4" i="1"/>
  <c r="AC4" i="1"/>
  <c r="AB4" i="1"/>
  <c r="AA4" i="1"/>
  <c r="Z4" i="1"/>
  <c r="X4" i="1"/>
  <c r="W4" i="1"/>
  <c r="V4" i="1"/>
  <c r="U4" i="1"/>
  <c r="T4" i="1"/>
  <c r="S4" i="1"/>
  <c r="R4" i="1"/>
  <c r="Q4" i="1"/>
  <c r="P4" i="1"/>
  <c r="AS4" i="1" l="1"/>
  <c r="CC4" i="1" s="1"/>
  <c r="BB4" i="1"/>
  <c r="Y4" i="1"/>
  <c r="AI4" i="1"/>
  <c r="CB4" i="1" l="1"/>
</calcChain>
</file>

<file path=xl/sharedStrings.xml><?xml version="1.0" encoding="utf-8"?>
<sst xmlns="http://schemas.openxmlformats.org/spreadsheetml/2006/main" count="938" uniqueCount="228">
  <si>
    <t>Entornos visitados</t>
  </si>
  <si>
    <t>Brigadas</t>
  </si>
  <si>
    <t>Categoria de viviendas</t>
  </si>
  <si>
    <t>Total de población no vacunada en el bloqueo y barrido según motivos</t>
  </si>
  <si>
    <t>Municipio</t>
  </si>
  <si>
    <t>Localidad</t>
  </si>
  <si>
    <t>Fecha de la actividad (dd/mm/aaaa)</t>
  </si>
  <si>
    <t xml:space="preserve">Número de vacunadores </t>
  </si>
  <si>
    <t>Abierta</t>
  </si>
  <si>
    <t>Ausente (Cerradas)</t>
  </si>
  <si>
    <t>Deshabitada</t>
  </si>
  <si>
    <t>Renuente</t>
  </si>
  <si>
    <t>Total</t>
  </si>
  <si>
    <t>6 a 11 meses</t>
  </si>
  <si>
    <t>1 año</t>
  </si>
  <si>
    <t>2 a 4 años</t>
  </si>
  <si>
    <t>10 a 19 años</t>
  </si>
  <si>
    <t>20 a 39 años</t>
  </si>
  <si>
    <t>40 a 49 años</t>
  </si>
  <si>
    <t>embarazadas</t>
  </si>
  <si>
    <t>TOTAL</t>
  </si>
  <si>
    <t xml:space="preserve">TOTAL </t>
  </si>
  <si>
    <t xml:space="preserve">Poblacion indigena </t>
  </si>
  <si>
    <t xml:space="preserve">Poblacion jornalera </t>
  </si>
  <si>
    <t>Personal educativo vacunado</t>
  </si>
  <si>
    <t>Personal de salud vacunado</t>
  </si>
  <si>
    <t>Contraindicación médica</t>
  </si>
  <si>
    <t>Embarazada</t>
  </si>
  <si>
    <t>Otro motivo</t>
  </si>
  <si>
    <t>Cobertura inicial</t>
  </si>
  <si>
    <t>Cobertura final</t>
  </si>
  <si>
    <t>MOTIVOS DE NO VACUNACIÓN EN BLOQUEO Y  BARRIDO</t>
  </si>
  <si>
    <t>4  Migrante</t>
  </si>
  <si>
    <t>2  Indígena</t>
  </si>
  <si>
    <t>1  General</t>
  </si>
  <si>
    <t>GRUPO POBLACIONAL</t>
  </si>
  <si>
    <t xml:space="preserve">Miembros del equipo que ejecutan el barrido:  </t>
  </si>
  <si>
    <t>TOTALES</t>
  </si>
  <si>
    <t>Cualquier otro motivo</t>
  </si>
  <si>
    <t>Embarazadas</t>
  </si>
  <si>
    <t xml:space="preserve">20 a 39  años </t>
  </si>
  <si>
    <t xml:space="preserve">10 a 19 años </t>
  </si>
  <si>
    <t xml:space="preserve">5 - 09 años </t>
  </si>
  <si>
    <t xml:space="preserve">6 a 11 meses </t>
  </si>
  <si>
    <t>CATEGORIA DE VIVIENDAS</t>
  </si>
  <si>
    <t>NÚMERO DE VIVIENDA
VISITADA</t>
  </si>
  <si>
    <t>60 AÑOS O MÁS</t>
  </si>
  <si>
    <t>MANZANA: ______________________</t>
  </si>
  <si>
    <t>COLONIA(S):_______________________________________________</t>
  </si>
  <si>
    <t>20 A 59 AÑOS</t>
  </si>
  <si>
    <t>CÓDIGO POSTAL:_______________</t>
  </si>
  <si>
    <t>AGEB: __________________________</t>
  </si>
  <si>
    <t>LOCALIDAD:_______________________________________________</t>
  </si>
  <si>
    <t>10 A 19 AÑOS</t>
  </si>
  <si>
    <t>DISTRITO:_______________________</t>
  </si>
  <si>
    <t>INSTITUCIÓN:____________________</t>
  </si>
  <si>
    <t>0 A 9 AÑOS</t>
  </si>
  <si>
    <t>3   Jornalera</t>
  </si>
  <si>
    <t>CATEGORIAS DE VIVIENDAS VISITADAS (entiéndase como vivienda: una casa, departamento, cuarto ocupado por una familia)</t>
  </si>
  <si>
    <t>5  Discapacidad</t>
  </si>
  <si>
    <t>MUNICIPIO/ALCALDÍA:_____________________</t>
  </si>
  <si>
    <t>Total de población encontrada sin antecedente vacunal SRP/SR por grupo de edad</t>
  </si>
  <si>
    <t xml:space="preserve">Total de población encontrada con antecedente de vacunación con SRP/SR por grupo de edad  </t>
  </si>
  <si>
    <t xml:space="preserve">5 - 9 años </t>
  </si>
  <si>
    <t xml:space="preserve">Total de población vacunada con SRP/SR durante el bloqueo vacunal o barrido documentado según grupos de edad </t>
  </si>
  <si>
    <t>5 Afromexicano</t>
  </si>
  <si>
    <t>6  Afrodescendiente</t>
  </si>
  <si>
    <t>7  Situación de Calle</t>
  </si>
  <si>
    <t>50 años y más</t>
  </si>
  <si>
    <t>5 a 9 años</t>
  </si>
  <si>
    <t xml:space="preserve">Total de poblacion encontrada por grupo de edad </t>
  </si>
  <si>
    <t>VACUNAS SRP APLICADAS</t>
  </si>
  <si>
    <t>VACUNAS SR APLICADAS</t>
  </si>
  <si>
    <t>ESTADO: ______________________________</t>
  </si>
  <si>
    <t xml:space="preserve">Total de población no vacunada en el bloqueo y barrido según motivos </t>
  </si>
  <si>
    <t>Población Migrante</t>
  </si>
  <si>
    <t>Discapacidad</t>
  </si>
  <si>
    <t>Afromexicano</t>
  </si>
  <si>
    <t>Afrodescendiente</t>
  </si>
  <si>
    <t>Situación de calle</t>
  </si>
  <si>
    <t>Número de colonias visitadas</t>
  </si>
  <si>
    <t>Número de brigadas de vacunacion desplegadas</t>
  </si>
  <si>
    <t>Cartilla Nacional de Salud entregadas</t>
  </si>
  <si>
    <t xml:space="preserve">Total de población encontrada por grupo de edad </t>
  </si>
  <si>
    <r>
      <rPr>
        <b/>
        <sz val="11"/>
        <rFont val="Noto Sans"/>
        <family val="2"/>
      </rPr>
      <t xml:space="preserve">1   VIVIENDA ABIERTA: </t>
    </r>
    <r>
      <rPr>
        <sz val="11"/>
        <rFont val="Noto Sans"/>
        <family val="2"/>
      </rPr>
      <t>Vivienda donde residen poblaciones sujetas a la vacunación y hay una persona adulta dispuesta a suministrar la información y consentir la vacunación en caso de ser necesario.</t>
    </r>
  </si>
  <si>
    <r>
      <rPr>
        <b/>
        <sz val="11"/>
        <rFont val="Noto Sans"/>
        <family val="2"/>
      </rPr>
      <t>2   VIVIENDA AUSENTE:</t>
    </r>
    <r>
      <rPr>
        <sz val="11"/>
        <rFont val="Noto Sans"/>
        <family val="2"/>
      </rPr>
      <t xml:space="preserve"> Vivienda donde residen poblaciones sujetas a la vacunación y NO hay una persona adulta dispuesta a suministrar la información y consentir la vacunación en caso de ser necesario.</t>
    </r>
  </si>
  <si>
    <r>
      <t xml:space="preserve">3   VIVIENDA DESHABITADA: </t>
    </r>
    <r>
      <rPr>
        <sz val="11"/>
        <rFont val="Noto Sans"/>
        <family val="2"/>
      </rPr>
      <t>Vivienda donde no residen personas.</t>
    </r>
  </si>
  <si>
    <r>
      <t>4   VIVIENDA RENUENTE:</t>
    </r>
    <r>
      <rPr>
        <sz val="11"/>
        <rFont val="Noto Sans"/>
        <family val="2"/>
      </rPr>
      <t xml:space="preserve"> Vivienda donde residen poblaciones sujetas a la vacunación, y que la persona adulta presente no está dispuesta a brindar información o no aceptan la vacunación.</t>
    </r>
  </si>
  <si>
    <r>
      <t xml:space="preserve">Contraindicación médica: </t>
    </r>
    <r>
      <rPr>
        <sz val="11"/>
        <rFont val="Noto Sans"/>
        <family val="2"/>
      </rPr>
      <t>Diversas indicaciones médicas señaladas en el nivel público y/o privado.</t>
    </r>
  </si>
  <si>
    <r>
      <t xml:space="preserve">Renuente: </t>
    </r>
    <r>
      <rPr>
        <sz val="11"/>
        <rFont val="Noto Sans"/>
        <family val="2"/>
      </rPr>
      <t>Aquellos factores relacionados al contexto cultural de la población: religiosos, creencias de la zona, implicaciones de género, no confian en la vacuna, etcétera</t>
    </r>
  </si>
  <si>
    <r>
      <t xml:space="preserve">Otros: </t>
    </r>
    <r>
      <rPr>
        <sz val="11"/>
        <rFont val="Noto Sans"/>
        <family val="2"/>
      </rPr>
      <t>Diferentes razones que no encajan en las anteriores descritas</t>
    </r>
  </si>
  <si>
    <t>FORMATO DE BLOQUEO O BARRIDO DOCUMENTAL DE VACUNACIÓN CONTRA EL SARAMPIÓN</t>
  </si>
  <si>
    <t>Barrido o bloqueo Inicial</t>
  </si>
  <si>
    <t>Barrido o bloqueo de recuperación</t>
  </si>
  <si>
    <t>FECHA :     ____________/____________/_____________</t>
  </si>
  <si>
    <t>10 Otra</t>
  </si>
  <si>
    <t>8 Personal de Salud</t>
  </si>
  <si>
    <t>9 Personal Educativo</t>
  </si>
  <si>
    <t>1. Formato de Bloqueo o Barrido Documental (Hoja para Impresión)</t>
  </si>
  <si>
    <t>Descripción de Campos (Encabezado y Generales)</t>
  </si>
  <si>
    <t>Descripción de Campos (Cuerpo del Formato)</t>
  </si>
  <si>
    <t>Categoría de Viviendas:</t>
  </si>
  <si>
    <t>Motivos de NO vacunación:</t>
  </si>
  <si>
    <t>2. Hoja de Concentrado (Base de Datos)</t>
  </si>
  <si>
    <t>Descripción de Campos</t>
  </si>
  <si>
    <t>Datos de Brigadas:</t>
  </si>
  <si>
    <t>Dosis Específicas:</t>
  </si>
  <si>
    <r>
      <t>Tipo de Actividad:</t>
    </r>
    <r>
      <rPr>
        <sz val="9"/>
        <color rgb="FF303030"/>
        <rFont val="Noto Sans"/>
        <family val="2"/>
      </rPr>
      <t xml:space="preserve"> Marcar si es "Barrido o bloqueo Inicial" o "Barrido o bloqueo de recuperación".</t>
    </r>
  </si>
  <si>
    <r>
      <t>Datos Geográficos:</t>
    </r>
    <r>
      <rPr>
        <sz val="9"/>
        <color rgb="FF303030"/>
        <rFont val="Noto Sans"/>
        <family val="2"/>
      </rPr>
      <t xml:space="preserve"> Completar Institución, Estado, Distrito, Municipio/Alcaldía, Localidad, AGEB, Colonia, Manzana y Código Postal.</t>
    </r>
  </si>
  <si>
    <r>
      <t>Fecha:</t>
    </r>
    <r>
      <rPr>
        <sz val="9"/>
        <color rgb="FF303030"/>
        <rFont val="Noto Sans"/>
        <family val="2"/>
      </rPr>
      <t xml:space="preserve"> Fecha de la actividad.</t>
    </r>
  </si>
  <si>
    <r>
      <t>Número de Vivienda Visitada:</t>
    </r>
    <r>
      <rPr>
        <sz val="9"/>
        <color rgb="FF303030"/>
        <rFont val="Noto Sans"/>
        <family val="2"/>
      </rPr>
      <t xml:space="preserve"> Folio progresivo de la casa.</t>
    </r>
  </si>
  <si>
    <r>
      <t>Total de población encontrada:</t>
    </r>
    <r>
      <rPr>
        <sz val="9"/>
        <color rgb="FF303030"/>
        <rFont val="Noto Sans"/>
        <family val="2"/>
      </rPr>
      <t xml:space="preserve"> Registro por grupos de edad (6 meses hasta 50 años y más, incluyendo embarazadas).</t>
    </r>
  </si>
  <si>
    <r>
      <t>Población con antecedente vacunal (SRP/SR):</t>
    </r>
    <r>
      <rPr>
        <sz val="9"/>
        <color rgb="FF303030"/>
        <rFont val="Noto Sans"/>
        <family val="2"/>
      </rPr>
      <t xml:space="preserve"> Personas que ya cuentan con la vacuna documentada por grupo de edad.</t>
    </r>
  </si>
  <si>
    <r>
      <t>Población SIN antecedente vacunal (SRP/SR):</t>
    </r>
    <r>
      <rPr>
        <sz val="9"/>
        <color rgb="FF303030"/>
        <rFont val="Noto Sans"/>
        <family val="2"/>
      </rPr>
      <t xml:space="preserve"> Personas que carecen de la vacuna según su grupo de edad.</t>
    </r>
  </si>
  <si>
    <r>
      <t>Población VACUNADA durante el operativo:</t>
    </r>
    <r>
      <rPr>
        <sz val="9"/>
        <color rgb="FF303030"/>
        <rFont val="Noto Sans"/>
        <family val="2"/>
      </rPr>
      <t xml:space="preserve"> Cantidad de personas que recibieron la dosis en ese momento.</t>
    </r>
  </si>
  <si>
    <r>
      <t>Contraindicación médica:</t>
    </r>
    <r>
      <rPr>
        <sz val="9"/>
        <color rgb="FF303030"/>
        <rFont val="Noto Sans"/>
        <family val="2"/>
      </rPr>
      <t xml:space="preserve"> Indicaciones médicas específicas que impiden la dosis.</t>
    </r>
  </si>
  <si>
    <r>
      <t>Renuente:</t>
    </r>
    <r>
      <rPr>
        <sz val="9"/>
        <color rgb="FF303030"/>
        <rFont val="Noto Sans"/>
        <family val="2"/>
      </rPr>
      <t xml:space="preserve"> Factores culturales, religiosos o falta de confianza en la vacuna.</t>
    </r>
  </si>
  <si>
    <r>
      <t>Embarazadas:</t>
    </r>
    <r>
      <rPr>
        <sz val="9"/>
        <color rgb="FF303030"/>
        <rFont val="Noto Sans"/>
        <family val="2"/>
      </rPr>
      <t xml:space="preserve"> Cuando el estado de embarazo impide la aplicación según la norma.</t>
    </r>
  </si>
  <si>
    <r>
      <t>Cualquier otro motivo:</t>
    </r>
    <r>
      <rPr>
        <sz val="9"/>
        <color rgb="FF303030"/>
        <rFont val="Noto Sans"/>
        <family val="2"/>
      </rPr>
      <t xml:space="preserve"> Razones distintas a las anteriores.</t>
    </r>
  </si>
  <si>
    <r>
      <t>Número de brigadas:</t>
    </r>
    <r>
      <rPr>
        <sz val="9"/>
        <color rgb="FF303030"/>
        <rFont val="Noto Sans"/>
        <family val="2"/>
      </rPr>
      <t xml:space="preserve"> Cantidad de equipos desplegados.</t>
    </r>
  </si>
  <si>
    <r>
      <t>Número de vacunadores:</t>
    </r>
    <r>
      <rPr>
        <sz val="9"/>
        <color rgb="FF303030"/>
        <rFont val="Noto Sans"/>
        <family val="2"/>
      </rPr>
      <t xml:space="preserve"> Total de personal aplicador.</t>
    </r>
  </si>
  <si>
    <r>
      <t>Resumen de Viviendas:</t>
    </r>
    <r>
      <rPr>
        <sz val="9"/>
        <color rgb="FF303030"/>
        <rFont val="Noto Sans"/>
        <family val="2"/>
      </rPr>
      <t xml:space="preserve"> Sumatoria de viviendas abiertas, ausentes, deshabitadas y renuentes del formato individual.</t>
    </r>
  </si>
  <si>
    <r>
      <t>Totales de Población:</t>
    </r>
    <r>
      <rPr>
        <sz val="9"/>
        <color rgb="FF303030"/>
        <rFont val="Noto Sans"/>
        <family val="2"/>
      </rPr>
      <t xml:space="preserve"> Sumatoria total de población encontrada, con antecedente, sin antecedente y vacunada, desglosada por los mismos grupos de edad del primer formato.</t>
    </r>
  </si>
  <si>
    <r>
      <t>Vacunas SRP/SR Aplicadas:</t>
    </r>
    <r>
      <rPr>
        <sz val="9"/>
        <color rgb="FF303030"/>
        <rFont val="Noto Sans"/>
        <family val="2"/>
      </rPr>
      <t xml:space="preserve"> Total de dosis de Sarampión, Rubéola y Parotiditis (SRP) o Sarampión y Rubéola (SR).</t>
    </r>
  </si>
  <si>
    <r>
      <t>Poblaciones Específicas:</t>
    </r>
    <r>
      <rPr>
        <sz val="9"/>
        <color rgb="FF303030"/>
        <rFont val="Noto Sans"/>
        <family val="2"/>
      </rPr>
      <t xml:space="preserve"> Sumatoria de personas vacunadas pertenecientes a grupos como personal educativo, de salud, población indígena, jornalera, migrante, con discapacidad, afromexicanos, afrodescendientes o en situación de calle.</t>
    </r>
  </si>
  <si>
    <r>
      <t>Resumen de No Vacunación:</t>
    </r>
    <r>
      <rPr>
        <sz val="9"/>
        <color rgb="FF303030"/>
        <rFont val="Noto Sans"/>
        <family val="2"/>
      </rPr>
      <t xml:space="preserve"> Sumatoria de los motivos (contraindicación, renuencia, embarazo, otros).</t>
    </r>
  </si>
  <si>
    <r>
      <t>Cobertura:</t>
    </r>
    <r>
      <rPr>
        <sz val="9"/>
        <color rgb="FF303030"/>
        <rFont val="Noto Sans"/>
        <family val="2"/>
      </rPr>
      <t xml:space="preserve"> Cálculo de cobertura inicial y final según las metas establecidas.</t>
    </r>
  </si>
  <si>
    <t>INSTRUCTIVO</t>
  </si>
  <si>
    <t>Este formato se utiliza en campo para registrar los datos de cada vivienda visitada. Deberá completar los datos de identificación en la parte superior y luego proceder con el registro detallado por vivienda.</t>
  </si>
  <si>
    <r>
      <t>Cartilla Nacional de Salud entregadas:</t>
    </r>
    <r>
      <rPr>
        <sz val="9"/>
        <color rgb="FF303030"/>
        <rFont val="Noto Sans"/>
        <family val="2"/>
      </rPr>
      <t xml:space="preserve"> Anotar la cantidad entregada según el grupo de edad (0 a 9, 10 a 19, por sexo de 20 a 59, y 60 años o más).</t>
    </r>
  </si>
  <si>
    <r>
      <t xml:space="preserve">VIVIENDA ABIERTA: </t>
    </r>
    <r>
      <rPr>
        <sz val="9"/>
        <color rgb="FF303030"/>
        <rFont val="Noto Sans"/>
        <family val="2"/>
      </rPr>
      <t>Vivienda donde residen poblaciones sujetas a la vacunación y hay una persona adulta dispuesta a suministrar la información y consentir la vacunación en caso de ser necesario.</t>
    </r>
  </si>
  <si>
    <r>
      <t>VIVIENDA AUSENTE:</t>
    </r>
    <r>
      <rPr>
        <sz val="9"/>
        <color rgb="FF303030"/>
        <rFont val="Noto Sans"/>
        <family val="2"/>
      </rPr>
      <t xml:space="preserve"> Vivienda donde residen poblaciones sujetas a la vacunación y NO hay una persona adulta dispuesta a suministrar la información y consentir la vacunación en caso de ser necesario.</t>
    </r>
  </si>
  <si>
    <r>
      <t xml:space="preserve">VIVIENDA DESHABITADA: </t>
    </r>
    <r>
      <rPr>
        <sz val="9"/>
        <color rgb="FF303030"/>
        <rFont val="Noto Sans"/>
        <family val="2"/>
      </rPr>
      <t>Vivienda donde no residen personas.</t>
    </r>
  </si>
  <si>
    <r>
      <t xml:space="preserve">VIVIENDA RENUENTE: </t>
    </r>
    <r>
      <rPr>
        <sz val="9"/>
        <color rgb="FF303030"/>
        <rFont val="Noto Sans"/>
        <family val="2"/>
      </rPr>
      <t>Vivienda donde residen poblaciones sujetas a la vacunación, y que la persona adulta presente no está dispuesta a brindar información o no aceptan la vacunación.</t>
    </r>
  </si>
  <si>
    <r>
      <t>Datos de Ubicación y Tiempo:</t>
    </r>
    <r>
      <rPr>
        <sz val="9"/>
        <color rgb="FF303030"/>
        <rFont val="Noto Sans"/>
        <family val="2"/>
      </rPr>
      <t xml:space="preserve"> Distrito o Jurisdicción, Municipio, Localidad y Fecha de la actividad.</t>
    </r>
  </si>
  <si>
    <t>TIPO DE ENTORNO:</t>
  </si>
  <si>
    <t>_______________</t>
  </si>
  <si>
    <r>
      <t xml:space="preserve">Tipo de Entorno: </t>
    </r>
    <r>
      <rPr>
        <sz val="9"/>
        <color rgb="FF303030"/>
        <rFont val="Noto Sans"/>
        <family val="2"/>
      </rPr>
      <t>Completar en caso de que sea una escuela, lugar de trabajo, etc.</t>
    </r>
  </si>
  <si>
    <r>
      <t xml:space="preserve">Entorno visitado:
</t>
    </r>
    <r>
      <rPr>
        <sz val="9"/>
        <rFont val="Noto Sans"/>
        <family val="2"/>
      </rPr>
      <t>Escuela
Lugar de Trabajo, etc.</t>
    </r>
    <r>
      <rPr>
        <b/>
        <sz val="9"/>
        <rFont val="Noto Sans"/>
        <family val="2"/>
      </rPr>
      <t xml:space="preserve">
</t>
    </r>
  </si>
  <si>
    <r>
      <t xml:space="preserve">Tipo de despliegue territorial:
</t>
    </r>
    <r>
      <rPr>
        <sz val="9"/>
        <rFont val="Noto Sans"/>
        <family val="2"/>
      </rPr>
      <t>Barrido
bloqueo
módulo
puesto fijo
semifijo, etc.</t>
    </r>
  </si>
  <si>
    <t>Observaciones del día de trabajo</t>
  </si>
  <si>
    <t>Otro</t>
  </si>
  <si>
    <r>
      <t>Entornos Visitados:</t>
    </r>
    <r>
      <rPr>
        <sz val="9"/>
        <color rgb="FF303030"/>
        <rFont val="Noto Sans"/>
        <family val="2"/>
      </rPr>
      <t xml:space="preserve"> Registrar si se acudió a escuelas, lugar de trabajo, o específicar el lugar.</t>
    </r>
  </si>
  <si>
    <r>
      <t>Tipo de despliegue:</t>
    </r>
    <r>
      <rPr>
        <sz val="9"/>
        <color rgb="FF303030"/>
        <rFont val="Noto Sans"/>
        <family val="2"/>
      </rPr>
      <t xml:space="preserve"> Especificar si fue barrido casa a casa, bloqueo, módulo, puesto fijo, etc.</t>
    </r>
  </si>
  <si>
    <r>
      <t>Observaciones:</t>
    </r>
    <r>
      <rPr>
        <sz val="9"/>
        <color rgb="FF303030"/>
        <rFont val="Noto Sans"/>
        <family val="2"/>
      </rPr>
      <t xml:space="preserve"> Espacio para indicar incidentes relevantes del día.</t>
    </r>
  </si>
  <si>
    <r>
      <rPr>
        <b/>
        <sz val="9"/>
        <color rgb="FF9C234B"/>
        <rFont val="Noto Sans"/>
        <family val="2"/>
      </rPr>
      <t>Nota importante:</t>
    </r>
    <r>
      <rPr>
        <sz val="9"/>
        <color theme="1"/>
        <rFont val="Noto Sans"/>
        <family val="2"/>
      </rPr>
      <t xml:space="preserve"> Al llenar el Concentrado, asegúrese de que la suma de los totales por grupo de edad coincida exactamente con lo reportado en las hojas de campo para evitar discrepancias en la base de datos.</t>
    </r>
  </si>
  <si>
    <r>
      <t xml:space="preserve">Esta hoja funciona como una base de datos donde cada fila representa el resumen total de un formato de bloqueo o barrido realizado. Aquí se deben </t>
    </r>
    <r>
      <rPr>
        <b/>
        <sz val="9"/>
        <color rgb="FF9C234B"/>
        <rFont val="Noto Sans"/>
        <family val="2"/>
      </rPr>
      <t>sumar los totales de cada columna</t>
    </r>
    <r>
      <rPr>
        <sz val="9"/>
        <color theme="1"/>
        <rFont val="Noto Sans"/>
        <family val="2"/>
      </rPr>
      <t xml:space="preserve"> del formato anterior.</t>
    </r>
  </si>
  <si>
    <t>TIPO DE LOCALIDAD</t>
  </si>
  <si>
    <t>Rural Pob &lt;2500hab</t>
  </si>
  <si>
    <t>Semi urb (2500.14999 hab)</t>
  </si>
  <si>
    <t>Urbana (&gt;15000 hab)</t>
  </si>
  <si>
    <t>TIPO DE TÁCTICA</t>
  </si>
  <si>
    <t>Bloqueo Vacunal (&lt;72 hr)</t>
  </si>
  <si>
    <t>Barrido documentado (&gt;72 hr)</t>
  </si>
  <si>
    <t>Brigada</t>
  </si>
  <si>
    <t>Monitoreo rápido</t>
  </si>
  <si>
    <t>Población especial</t>
  </si>
  <si>
    <t>Personal de salud</t>
  </si>
  <si>
    <t>Docente</t>
  </si>
  <si>
    <t>Jornalero</t>
  </si>
  <si>
    <r>
      <t xml:space="preserve">1 RURAL: </t>
    </r>
    <r>
      <rPr>
        <sz val="11"/>
        <rFont val="Noto Sans"/>
        <family val="2"/>
      </rPr>
      <t>Población menor o igual a 1500 habitantes</t>
    </r>
  </si>
  <si>
    <r>
      <t xml:space="preserve">2 SEMI URBANA: </t>
    </r>
    <r>
      <rPr>
        <sz val="11"/>
        <rFont val="Noto Sans"/>
        <family val="2"/>
      </rPr>
      <t xml:space="preserve">Población de 1500 a 14999 habitantes </t>
    </r>
  </si>
  <si>
    <r>
      <t xml:space="preserve">3 URBANA: </t>
    </r>
    <r>
      <rPr>
        <sz val="11"/>
        <rFont val="Noto Sans"/>
        <family val="2"/>
      </rPr>
      <t>Población mayor a 15000 habitantes</t>
    </r>
  </si>
  <si>
    <r>
      <t>1 BLOQUEO VACUNAL:</t>
    </r>
    <r>
      <rPr>
        <sz val="11"/>
        <rFont val="Noto Sans"/>
        <family val="2"/>
      </rPr>
      <t xml:space="preserve"> Estrategia de respuesta inmediata que se activa dentro de las primeras 72 horas posteriores a la notificación de un caso, mediante la vacunación intensiva de la población susceptible en el área de influencia (domicilio, manzana o localidad), con el objetivo de cortar la cadena de transmisión. Incluye delimitación del área, priorización de grupos de riesgo (especialmente menores no vacunados) y registro de las dosis aplicadas.</t>
    </r>
  </si>
  <si>
    <r>
      <t xml:space="preserve">2 BARRIDO DOCUMENTADO: </t>
    </r>
    <r>
      <rPr>
        <sz val="11"/>
        <rFont val="Noto Sans"/>
        <family val="2"/>
      </rPr>
      <t>Actividad que se realiza posterior a las 72 horas de la notificación, enfocada en la búsqueda activa casa por casa o en escuelas para identificar población no vacunada o con esquemas incompletos, aplicar las dosis correspondientes y dejar evidencia documentada (formatos, listados nominales y reportes), con el fin de cerrar brechas de cobertura.</t>
    </r>
  </si>
  <si>
    <r>
      <t xml:space="preserve">3 BRIGADA: </t>
    </r>
    <r>
      <rPr>
        <sz val="11"/>
        <rFont val="Noto Sans"/>
        <family val="2"/>
      </rPr>
      <t>Equipo operativo de salud que se desplaza a campo para ejecutar acciones de vacunación, promoción y control, especialmente en comunidades de difícil acceso, zonas dispersas o planteles educativos, contando con organización logística, cadena de frío y coordinación interinstitucional.</t>
    </r>
  </si>
  <si>
    <r>
      <t xml:space="preserve">4 MONITOREO RÁPIDO: </t>
    </r>
    <r>
      <rPr>
        <sz val="11"/>
        <rFont val="Noto Sans"/>
        <family val="2"/>
      </rPr>
      <t>Estrategia de evaluación en campo que se realiza en un periodo corto para verificar coberturas de vacunación en una localidad o población específica, mediante revisión de cartillas, listados nominales o encuestas rápidas. Permite identificar de manera oportuna rezagos, áreas de riesgo o fallas operativas, con el fin de implementar acciones inmediatas de corrección como barridos o refuerzo de brigadas.</t>
    </r>
  </si>
  <si>
    <t>Tipo de localidad</t>
  </si>
  <si>
    <t>Tácti ca</t>
  </si>
  <si>
    <t>Dirección</t>
  </si>
  <si>
    <t>Colonia</t>
  </si>
  <si>
    <t>Codigo Postal</t>
  </si>
  <si>
    <t>Latitud</t>
  </si>
  <si>
    <t>Longitud</t>
  </si>
  <si>
    <t>Institución</t>
  </si>
  <si>
    <t>SSA</t>
  </si>
  <si>
    <t>Juriasdicción</t>
  </si>
  <si>
    <t>CLUES</t>
  </si>
  <si>
    <t>AGEB</t>
  </si>
  <si>
    <t>Manzanas</t>
  </si>
  <si>
    <t>AMOLES</t>
  </si>
  <si>
    <t>ARMADILLO</t>
  </si>
  <si>
    <t>POTREROS</t>
  </si>
  <si>
    <t>CIHUACORA</t>
  </si>
  <si>
    <t>AGUACATES(ANGOSTURA)</t>
  </si>
  <si>
    <t>BOTIJAS</t>
  </si>
  <si>
    <t>BUENAVISTA</t>
  </si>
  <si>
    <t>CERRO DE LAS PALOMAS</t>
  </si>
  <si>
    <t>ZAPOTES</t>
  </si>
  <si>
    <t>MESA DEL LLANO</t>
  </si>
  <si>
    <t>PINO PARADO</t>
  </si>
  <si>
    <t>BERENJENAS</t>
  </si>
  <si>
    <t>GUACAMAYA</t>
  </si>
  <si>
    <t>TEPALCATE</t>
  </si>
  <si>
    <t>LOS ARQUITOS</t>
  </si>
  <si>
    <t>GUYAVITOS</t>
  </si>
  <si>
    <t>LOS BANCOS</t>
  </si>
  <si>
    <t>ENRAMADAS</t>
  </si>
  <si>
    <t>COLOMOS</t>
  </si>
  <si>
    <t>LA ESCONDIDA</t>
  </si>
  <si>
    <t>TOMATES</t>
  </si>
  <si>
    <t>CEBOLLAS</t>
  </si>
  <si>
    <t>CERRO BLANCO</t>
  </si>
  <si>
    <t>AGUA CALIENTE</t>
  </si>
  <si>
    <t>ARROYO HONDO</t>
  </si>
  <si>
    <t>20 AL 22/04/2026</t>
  </si>
  <si>
    <t>MODULO</t>
  </si>
  <si>
    <t xml:space="preserve">se vacuna a la poblacion encontrada ese dia que se asistio </t>
  </si>
  <si>
    <t>IMSS B</t>
  </si>
  <si>
    <t>Mezquital</t>
  </si>
  <si>
    <t xml:space="preserve">CEBOLLAS DE MILPÍLLAS </t>
  </si>
  <si>
    <t>SAN MANUEL</t>
  </si>
  <si>
    <t>CARBONERAS</t>
  </si>
  <si>
    <t xml:space="preserve">TRES LAGUNAS </t>
  </si>
  <si>
    <t>23 AL 24 DE ABRIL2026</t>
  </si>
  <si>
    <t>PUESTO FIJO</t>
  </si>
  <si>
    <t>LA GUAJOLOTA</t>
  </si>
  <si>
    <t>semifijo</t>
  </si>
  <si>
    <t>ARMADILLOS</t>
  </si>
  <si>
    <t>CUMBRES</t>
  </si>
  <si>
    <t>barrido</t>
  </si>
  <si>
    <t>LAS JOYAS</t>
  </si>
  <si>
    <t>DGSSA001271</t>
  </si>
  <si>
    <t>HUAZAMOTITA</t>
  </si>
  <si>
    <t>STA MA. DE OCOTAN</t>
  </si>
  <si>
    <t>CERRO BOLILLO</t>
  </si>
  <si>
    <t>LAS AGUILILLAS</t>
  </si>
  <si>
    <t>BAJÍO Y CENTRO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</si>
</sst>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XDR&quot;* #,##0.00_-;\-&quot;XDR&quot;* #,##0.00_-;_-&quot;XDR&quot;* &quot;-&quot;??_-;_-@_-"/>
  </numFmts>
  <fonts count="24" x14ac:knownFonts="1">
    <font>
      <sz val="11"/>
      <color theme="1"/>
      <name val="Calibri"/>
      <family val="2"/>
      <scheme val="minor"/>
    </font>
    <font>
      <sz val="10"/>
      <color rgb="FF000000"/>
      <name val="Calibri"/>
      <family val="2"/>
      <scheme val="minor"/>
    </font>
    <font>
      <sz val="9"/>
      <name val="Noto Sans"/>
      <family val="2"/>
    </font>
    <font>
      <b/>
      <sz val="9"/>
      <name val="Noto Sans"/>
      <family val="2"/>
    </font>
    <font>
      <b/>
      <sz val="9"/>
      <color theme="0"/>
      <name val="Noto Sans"/>
      <family val="2"/>
    </font>
    <font>
      <sz val="9"/>
      <color theme="0"/>
      <name val="Noto Sans"/>
      <family val="2"/>
    </font>
    <font>
      <sz val="11"/>
      <name val="Noto Sans"/>
      <family val="2"/>
    </font>
    <font>
      <b/>
      <sz val="11"/>
      <name val="Noto Sans"/>
      <family val="2"/>
    </font>
    <font>
      <b/>
      <i/>
      <sz val="11"/>
      <name val="Noto Sans"/>
      <family val="2"/>
    </font>
    <font>
      <b/>
      <sz val="11"/>
      <color theme="1"/>
      <name val="Noto Sans"/>
      <family val="2"/>
    </font>
    <font>
      <b/>
      <sz val="11"/>
      <color theme="0"/>
      <name val="Noto Sans"/>
      <family val="2"/>
    </font>
    <font>
      <sz val="11"/>
      <color theme="1"/>
      <name val="Noto Sans"/>
      <family val="2"/>
    </font>
    <font>
      <b/>
      <sz val="14"/>
      <name val="Noto Sans"/>
      <family val="2"/>
    </font>
    <font>
      <sz val="9"/>
      <color theme="1"/>
      <name val="Noto Sans"/>
      <family val="2"/>
    </font>
    <font>
      <b/>
      <sz val="9"/>
      <color theme="1"/>
      <name val="Noto Sans"/>
      <family val="2"/>
    </font>
    <font>
      <b/>
      <sz val="9"/>
      <color rgb="FF303030"/>
      <name val="Noto Sans"/>
      <family val="2"/>
    </font>
    <font>
      <sz val="9"/>
      <color rgb="FF303030"/>
      <name val="Noto Sans"/>
      <family val="2"/>
    </font>
    <font>
      <b/>
      <sz val="10"/>
      <color rgb="FF9C234B"/>
      <name val="Noto Sans"/>
      <family val="2"/>
    </font>
    <font>
      <b/>
      <sz val="9"/>
      <color rgb="FF9C234B"/>
      <name val="Noto Sans"/>
      <family val="2"/>
    </font>
    <font>
      <b/>
      <sz val="12"/>
      <color rgb="FF9C234B"/>
      <name val="Noto Sans"/>
      <family val="2"/>
    </font>
    <font>
      <sz val="11"/>
      <color theme="1"/>
      <name val="Calibri"/>
      <family val="2"/>
      <scheme val="minor"/>
    </font>
    <font>
      <sz val="8"/>
      <name val="Calibri"/>
      <family val="2"/>
      <scheme val="minor"/>
    </font>
    <font>
      <sz val="8"/>
      <name val="Noto Sans"/>
      <family val="2"/>
    </font>
    <font>
      <sz val="11"/>
      <name val="Calibri"/>
      <family val="2"/>
    </font>
  </fonts>
  <fills count="27">
    <fill>
      <patternFill patternType="none"/>
    </fill>
    <fill>
      <patternFill patternType="gray125"/>
    </fill>
    <fill>
      <patternFill patternType="solid">
        <fgColor theme="6"/>
        <bgColor theme="6"/>
      </patternFill>
    </fill>
    <fill>
      <patternFill patternType="solid">
        <fgColor rgb="FFD9D9D9"/>
        <bgColor rgb="FFD9D9D9"/>
      </patternFill>
    </fill>
    <fill>
      <patternFill patternType="solid">
        <fgColor rgb="FF999999"/>
        <bgColor rgb="FF999999"/>
      </patternFill>
    </fill>
    <fill>
      <patternFill patternType="solid">
        <fgColor rgb="FF434343"/>
        <bgColor rgb="FF434343"/>
      </patternFill>
    </fill>
    <fill>
      <patternFill patternType="solid">
        <fgColor rgb="FFFFFFFF"/>
        <bgColor rgb="FFFFFFFF"/>
      </patternFill>
    </fill>
    <fill>
      <patternFill patternType="solid">
        <fgColor theme="2" tint="-9.9978637043366805E-2"/>
        <bgColor rgb="FF38761D"/>
      </patternFill>
    </fill>
    <fill>
      <patternFill patternType="solid">
        <fgColor theme="2" tint="-9.9978637043366805E-2"/>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rgb="FF002F2A"/>
        <bgColor indexed="64"/>
      </patternFill>
    </fill>
    <fill>
      <patternFill patternType="solid">
        <fgColor rgb="FF621333"/>
        <bgColor indexed="64"/>
      </patternFill>
    </fill>
    <fill>
      <patternFill patternType="solid">
        <fgColor rgb="FF9C234B"/>
        <bgColor indexed="64"/>
      </patternFill>
    </fill>
    <fill>
      <patternFill patternType="solid">
        <fgColor rgb="FFA6802D"/>
        <bgColor indexed="64"/>
      </patternFill>
    </fill>
    <fill>
      <patternFill patternType="solid">
        <fgColor rgb="FFE7D295"/>
        <bgColor indexed="64"/>
      </patternFill>
    </fill>
    <fill>
      <patternFill patternType="solid">
        <fgColor theme="2" tint="-0.249977111117893"/>
        <bgColor rgb="FFCFE2F3"/>
      </patternFill>
    </fill>
    <fill>
      <patternFill patternType="solid">
        <fgColor theme="1" tint="0.499984740745262"/>
        <bgColor rgb="FFF6B26B"/>
      </patternFill>
    </fill>
    <fill>
      <patternFill patternType="solid">
        <fgColor theme="2" tint="-0.249977111117893"/>
        <bgColor rgb="FFD9D2E9"/>
      </patternFill>
    </fill>
    <fill>
      <patternFill patternType="solid">
        <fgColor theme="2" tint="-0.249977111117893"/>
        <bgColor rgb="FFFFFFFF"/>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tint="-4.9989318521683403E-2"/>
        <bgColor rgb="FF434343"/>
      </patternFill>
    </fill>
    <fill>
      <patternFill patternType="solid">
        <fgColor theme="7" tint="0.79998168889431442"/>
        <bgColor indexed="64"/>
      </patternFill>
    </fill>
    <fill>
      <patternFill patternType="solid">
        <fgColor theme="1" tint="0.249977111117893"/>
        <bgColor indexed="64"/>
      </patternFill>
    </fill>
    <fill>
      <patternFill patternType="solid">
        <fgColor theme="0"/>
        <bgColor rgb="FF434343"/>
      </patternFill>
    </fill>
  </fills>
  <borders count="75">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theme="1"/>
      </right>
      <top/>
      <bottom style="thin">
        <color theme="1"/>
      </bottom>
      <diagonal/>
    </border>
    <border>
      <left style="thin">
        <color theme="1"/>
      </left>
      <right/>
      <top/>
      <bottom style="thin">
        <color theme="1"/>
      </bottom>
      <diagonal/>
    </border>
    <border>
      <left/>
      <right style="thin">
        <color theme="1"/>
      </right>
      <top/>
      <bottom/>
      <diagonal/>
    </border>
    <border>
      <left style="thin">
        <color theme="1"/>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bottom style="medium">
        <color theme="1"/>
      </bottom>
      <diagonal/>
    </border>
    <border>
      <left style="thin">
        <color indexed="64"/>
      </left>
      <right/>
      <top/>
      <bottom/>
      <diagonal/>
    </border>
    <border>
      <left style="thin">
        <color indexed="64"/>
      </left>
      <right style="medium">
        <color theme="1"/>
      </right>
      <top style="medium">
        <color indexed="64"/>
      </top>
      <bottom style="medium">
        <color theme="1"/>
      </bottom>
      <diagonal/>
    </border>
    <border>
      <left style="thin">
        <color indexed="64"/>
      </left>
      <right/>
      <top style="medium">
        <color indexed="64"/>
      </top>
      <bottom style="medium">
        <color theme="1"/>
      </bottom>
      <diagonal/>
    </border>
    <border>
      <left style="thin">
        <color indexed="64"/>
      </left>
      <right style="thin">
        <color indexed="64"/>
      </right>
      <top style="medium">
        <color indexed="64"/>
      </top>
      <bottom style="medium">
        <color theme="1"/>
      </bottom>
      <diagonal/>
    </border>
    <border>
      <left style="medium">
        <color theme="1"/>
      </left>
      <right style="thin">
        <color indexed="64"/>
      </right>
      <top style="medium">
        <color indexed="64"/>
      </top>
      <bottom style="medium">
        <color theme="1"/>
      </bottom>
      <diagonal/>
    </border>
    <border>
      <left style="medium">
        <color theme="1"/>
      </left>
      <right/>
      <top style="thin">
        <color theme="1"/>
      </top>
      <bottom style="medium">
        <color theme="1"/>
      </bottom>
      <diagonal/>
    </border>
    <border>
      <left style="thin">
        <color indexed="64"/>
      </left>
      <right style="medium">
        <color theme="1"/>
      </right>
      <top style="thin">
        <color indexed="64"/>
      </top>
      <bottom style="thin">
        <color indexed="64"/>
      </bottom>
      <diagonal/>
    </border>
    <border>
      <left style="thin">
        <color indexed="64"/>
      </left>
      <right/>
      <top style="thin">
        <color indexed="64"/>
      </top>
      <bottom style="thin">
        <color indexed="64"/>
      </bottom>
      <diagonal/>
    </border>
    <border>
      <left style="medium">
        <color theme="1"/>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theme="1"/>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theme="1"/>
      </right>
      <top/>
      <bottom style="thin">
        <color indexed="64"/>
      </bottom>
      <diagonal/>
    </border>
    <border>
      <left style="thin">
        <color indexed="64"/>
      </left>
      <right style="thin">
        <color indexed="64"/>
      </right>
      <top/>
      <bottom style="thin">
        <color indexed="64"/>
      </bottom>
      <diagonal/>
    </border>
    <border>
      <left style="medium">
        <color theme="1"/>
      </left>
      <right/>
      <top/>
      <bottom style="thin">
        <color indexed="64"/>
      </bottom>
      <diagonal/>
    </border>
    <border>
      <left style="medium">
        <color theme="1"/>
      </left>
      <right style="thin">
        <color indexed="64"/>
      </right>
      <top style="thin">
        <color indexed="64"/>
      </top>
      <bottom/>
      <diagonal/>
    </border>
    <border>
      <left style="thin">
        <color indexed="64"/>
      </left>
      <right style="medium">
        <color theme="1"/>
      </right>
      <top style="thin">
        <color indexed="64"/>
      </top>
      <bottom/>
      <diagonal/>
    </border>
    <border>
      <left style="medium">
        <color theme="1"/>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theme="1"/>
      </top>
      <bottom/>
      <diagonal/>
    </border>
    <border>
      <left style="medium">
        <color theme="1"/>
      </left>
      <right/>
      <top style="medium">
        <color theme="1"/>
      </top>
      <bottom/>
      <diagonal/>
    </border>
    <border>
      <left/>
      <right style="thin">
        <color indexed="64"/>
      </right>
      <top style="thin">
        <color indexed="64"/>
      </top>
      <bottom/>
      <diagonal/>
    </border>
    <border>
      <left/>
      <right style="thin">
        <color theme="1"/>
      </right>
      <top style="thin">
        <color theme="1"/>
      </top>
      <bottom/>
      <diagonal/>
    </border>
    <border>
      <left/>
      <right/>
      <top style="thin">
        <color theme="1"/>
      </top>
      <bottom/>
      <diagonal/>
    </border>
    <border>
      <left style="thin">
        <color theme="1"/>
      </left>
      <right/>
      <top style="thin">
        <color theme="1"/>
      </top>
      <bottom/>
      <diagonal/>
    </border>
    <border>
      <left/>
      <right style="medium">
        <color theme="1"/>
      </right>
      <top style="medium">
        <color theme="1"/>
      </top>
      <bottom/>
      <diagonal/>
    </border>
    <border>
      <left/>
      <right style="thin">
        <color theme="1"/>
      </right>
      <top/>
      <bottom style="medium">
        <color theme="1"/>
      </bottom>
      <diagonal/>
    </border>
    <border>
      <left/>
      <right style="thin">
        <color indexed="64"/>
      </right>
      <top/>
      <bottom style="medium">
        <color theme="1"/>
      </bottom>
      <diagonal/>
    </border>
    <border>
      <left style="thin">
        <color indexed="64"/>
      </left>
      <right style="thin">
        <color indexed="64"/>
      </right>
      <top/>
      <bottom style="medium">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theme="1"/>
      </right>
      <top style="thin">
        <color theme="1"/>
      </top>
      <bottom/>
      <diagonal/>
    </border>
    <border>
      <left style="medium">
        <color indexed="64"/>
      </left>
      <right style="thin">
        <color theme="1"/>
      </right>
      <top style="thin">
        <color theme="1"/>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theme="1"/>
      </bottom>
      <diagonal/>
    </border>
    <border>
      <left/>
      <right style="thin">
        <color indexed="64"/>
      </right>
      <top style="medium">
        <color indexed="64"/>
      </top>
      <bottom style="medium">
        <color theme="1"/>
      </bottom>
      <diagonal/>
    </border>
    <border>
      <left style="thin">
        <color theme="1"/>
      </left>
      <right/>
      <top style="thin">
        <color theme="1"/>
      </top>
      <bottom style="thin">
        <color theme="1"/>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s>
  <cellStyleXfs count="5">
    <xf numFmtId="0" fontId="0" fillId="0" borderId="0"/>
    <xf numFmtId="0" fontId="1" fillId="0" borderId="0"/>
    <xf numFmtId="44" fontId="20" fillId="0" borderId="0" applyFont="0" applyFill="0" applyBorder="0" applyAlignment="0" applyProtection="0"/>
    <xf numFmtId="9" fontId="20" fillId="0" borderId="0" applyFont="0" applyFill="0" applyBorder="0" applyAlignment="0" applyProtection="0"/>
    <xf numFmtId="0" fontId="1" fillId="0" borderId="0"/>
  </cellStyleXfs>
  <cellXfs count="240">
    <xf numFmtId="0" fontId="0" fillId="0" borderId="0" xfId="0"/>
    <xf numFmtId="0" fontId="3" fillId="0" borderId="0" xfId="1" applyFont="1" applyAlignment="1">
      <alignment horizontal="center" vertical="center" wrapText="1"/>
    </xf>
    <xf numFmtId="0" fontId="3" fillId="0" borderId="0" xfId="1" applyFont="1" applyAlignment="1">
      <alignment horizontal="center" vertical="center"/>
    </xf>
    <xf numFmtId="0" fontId="2" fillId="0" borderId="0" xfId="1" applyFont="1" applyAlignment="1"/>
    <xf numFmtId="14" fontId="3" fillId="0" borderId="0" xfId="1" applyNumberFormat="1" applyFont="1" applyAlignment="1">
      <alignment horizontal="center" vertical="center" wrapText="1"/>
    </xf>
    <xf numFmtId="0" fontId="3" fillId="6" borderId="9" xfId="1" applyFont="1" applyFill="1" applyBorder="1" applyAlignment="1">
      <alignment horizontal="center" vertical="center" wrapText="1"/>
    </xf>
    <xf numFmtId="0" fontId="3" fillId="0" borderId="0" xfId="1" applyFont="1" applyAlignment="1">
      <alignment horizontal="center" vertical="center" textRotation="90" wrapText="1"/>
    </xf>
    <xf numFmtId="0" fontId="2" fillId="0" borderId="0" xfId="1" applyFont="1" applyAlignment="1">
      <alignment horizontal="left" vertical="center" textRotation="90"/>
    </xf>
    <xf numFmtId="0" fontId="4" fillId="5" borderId="0" xfId="1" applyFont="1" applyFill="1" applyAlignment="1">
      <alignment horizontal="center" vertical="center" wrapText="1"/>
    </xf>
    <xf numFmtId="0" fontId="3" fillId="6" borderId="5" xfId="1" applyFont="1" applyFill="1" applyBorder="1" applyAlignment="1">
      <alignment horizontal="center" vertical="center" wrapText="1"/>
    </xf>
    <xf numFmtId="0" fontId="3" fillId="0" borderId="5" xfId="1" applyFont="1" applyBorder="1" applyAlignment="1">
      <alignment horizontal="center"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4" borderId="7" xfId="1" applyFont="1" applyFill="1" applyBorder="1" applyAlignment="1">
      <alignment horizontal="center" vertical="center" wrapText="1"/>
    </xf>
    <xf numFmtId="0" fontId="3" fillId="3" borderId="7"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0" borderId="9" xfId="1" applyFont="1" applyBorder="1" applyAlignment="1">
      <alignment horizontal="center" vertical="center" wrapText="1"/>
    </xf>
    <xf numFmtId="0" fontId="3" fillId="3" borderId="9" xfId="1" applyFont="1" applyFill="1" applyBorder="1" applyAlignment="1">
      <alignment horizontal="center" vertical="center" wrapText="1"/>
    </xf>
    <xf numFmtId="0" fontId="3" fillId="4" borderId="10" xfId="1" applyFont="1" applyFill="1" applyBorder="1" applyAlignment="1">
      <alignment horizontal="center" vertical="center" wrapText="1"/>
    </xf>
    <xf numFmtId="0" fontId="3" fillId="5" borderId="8" xfId="1" applyFont="1" applyFill="1" applyBorder="1" applyAlignment="1">
      <alignment horizontal="center" vertical="center" wrapText="1"/>
    </xf>
    <xf numFmtId="0" fontId="4" fillId="0" borderId="0" xfId="1" applyFont="1" applyAlignment="1">
      <alignment horizontal="center" vertical="center" wrapText="1"/>
    </xf>
    <xf numFmtId="0" fontId="5" fillId="0" borderId="0" xfId="1" applyFont="1" applyAlignment="1"/>
    <xf numFmtId="0" fontId="3" fillId="0" borderId="0" xfId="1" applyFont="1" applyAlignment="1">
      <alignment horizontal="center"/>
    </xf>
    <xf numFmtId="0" fontId="3" fillId="0" borderId="0" xfId="1" applyFont="1" applyAlignment="1"/>
    <xf numFmtId="0" fontId="2" fillId="0" borderId="0" xfId="0" applyFont="1"/>
    <xf numFmtId="0" fontId="3" fillId="6" borderId="9" xfId="1" applyFont="1" applyFill="1" applyBorder="1" applyAlignment="1">
      <alignment horizontal="center" vertical="center" wrapText="1"/>
    </xf>
    <xf numFmtId="0" fontId="3" fillId="0" borderId="9" xfId="1" applyFont="1" applyFill="1" applyBorder="1" applyAlignment="1">
      <alignment horizontal="center" vertical="center" wrapText="1"/>
    </xf>
    <xf numFmtId="0" fontId="4" fillId="5" borderId="9" xfId="1" applyFont="1" applyFill="1" applyBorder="1" applyAlignment="1">
      <alignment horizontal="center" vertical="center" wrapText="1"/>
    </xf>
    <xf numFmtId="0" fontId="3" fillId="19" borderId="9" xfId="1" applyFont="1" applyFill="1" applyBorder="1" applyAlignment="1">
      <alignment horizontal="center" vertical="center" wrapText="1"/>
    </xf>
    <xf numFmtId="0" fontId="3" fillId="3" borderId="0" xfId="1" applyFont="1" applyFill="1" applyAlignment="1">
      <alignment horizontal="left" vertical="center" wrapText="1"/>
    </xf>
    <xf numFmtId="0" fontId="3" fillId="6" borderId="9" xfId="1" applyFont="1" applyFill="1" applyBorder="1" applyAlignment="1">
      <alignment vertical="center" wrapText="1"/>
    </xf>
    <xf numFmtId="0" fontId="2" fillId="0" borderId="9" xfId="1" applyFont="1" applyBorder="1" applyAlignment="1"/>
    <xf numFmtId="0" fontId="3" fillId="4" borderId="2" xfId="1" applyFont="1" applyFill="1" applyBorder="1" applyAlignment="1">
      <alignment horizontal="center" vertical="center"/>
    </xf>
    <xf numFmtId="0" fontId="4" fillId="5" borderId="0" xfId="1" applyFont="1" applyFill="1" applyAlignment="1">
      <alignment horizontal="center" vertical="center" wrapText="1"/>
    </xf>
    <xf numFmtId="0" fontId="6" fillId="9" borderId="45" xfId="0" applyFont="1" applyFill="1" applyBorder="1"/>
    <xf numFmtId="0" fontId="6" fillId="9" borderId="0" xfId="0" applyFont="1" applyFill="1"/>
    <xf numFmtId="0" fontId="6" fillId="10" borderId="14" xfId="0" applyFont="1" applyFill="1" applyBorder="1"/>
    <xf numFmtId="0" fontId="6" fillId="10" borderId="13" xfId="0" applyFont="1" applyFill="1" applyBorder="1"/>
    <xf numFmtId="0" fontId="6" fillId="10" borderId="0" xfId="0" applyFont="1" applyFill="1"/>
    <xf numFmtId="0" fontId="8" fillId="10" borderId="0" xfId="0" applyFont="1" applyFill="1" applyAlignment="1">
      <alignment horizontal="left" vertical="center"/>
    </xf>
    <xf numFmtId="0" fontId="8" fillId="0" borderId="0" xfId="0" applyFont="1" applyFill="1" applyAlignment="1">
      <alignment horizontal="left" vertical="center"/>
    </xf>
    <xf numFmtId="0" fontId="7" fillId="10" borderId="0" xfId="0" applyFont="1" applyFill="1"/>
    <xf numFmtId="0" fontId="9" fillId="10" borderId="15" xfId="0" applyFont="1" applyFill="1" applyBorder="1"/>
    <xf numFmtId="0" fontId="9" fillId="10" borderId="0" xfId="0" applyFont="1" applyFill="1"/>
    <xf numFmtId="0" fontId="7" fillId="10" borderId="0" xfId="0" applyFont="1" applyFill="1" applyAlignment="1">
      <alignment wrapText="1"/>
    </xf>
    <xf numFmtId="0" fontId="7" fillId="10" borderId="0" xfId="0" applyFont="1" applyFill="1" applyAlignment="1"/>
    <xf numFmtId="0" fontId="7" fillId="10" borderId="39" xfId="0" applyFont="1" applyFill="1" applyBorder="1"/>
    <xf numFmtId="0" fontId="7" fillId="10" borderId="0" xfId="0" applyFont="1" applyFill="1" applyAlignment="1">
      <alignment horizontal="right"/>
    </xf>
    <xf numFmtId="0" fontId="7" fillId="10" borderId="27" xfId="0" applyFont="1" applyFill="1" applyBorder="1"/>
    <xf numFmtId="0" fontId="6" fillId="9" borderId="14" xfId="0" applyFont="1" applyFill="1" applyBorder="1"/>
    <xf numFmtId="0" fontId="7" fillId="10" borderId="0" xfId="0" applyFont="1" applyFill="1" applyAlignment="1">
      <alignment vertical="center"/>
    </xf>
    <xf numFmtId="0" fontId="7" fillId="10" borderId="0" xfId="0" applyFont="1" applyFill="1" applyAlignment="1">
      <alignment horizontal="center"/>
    </xf>
    <xf numFmtId="0" fontId="7" fillId="10" borderId="0" xfId="0" applyFont="1" applyFill="1" applyAlignment="1">
      <alignment vertical="center" wrapText="1"/>
    </xf>
    <xf numFmtId="0" fontId="6" fillId="9" borderId="14" xfId="0" applyFont="1" applyFill="1" applyBorder="1" applyAlignment="1">
      <alignment horizontal="center"/>
    </xf>
    <xf numFmtId="0" fontId="7" fillId="10" borderId="32" xfId="0" applyFont="1" applyFill="1" applyBorder="1" applyAlignment="1">
      <alignment horizontal="center" vertical="center" textRotation="90" wrapText="1"/>
    </xf>
    <xf numFmtId="0" fontId="7" fillId="0" borderId="32" xfId="0" applyFont="1" applyFill="1" applyBorder="1" applyAlignment="1">
      <alignment horizontal="center" vertical="center" textRotation="90" wrapText="1"/>
    </xf>
    <xf numFmtId="0" fontId="11" fillId="0" borderId="26" xfId="0" applyFont="1" applyBorder="1" applyAlignment="1">
      <alignment horizontal="center" vertical="center"/>
    </xf>
    <xf numFmtId="0" fontId="6" fillId="0" borderId="9" xfId="0" applyFont="1" applyBorder="1" applyAlignment="1">
      <alignment horizontal="center" vertical="center"/>
    </xf>
    <xf numFmtId="0" fontId="6" fillId="0" borderId="9" xfId="0" applyFont="1" applyFill="1" applyBorder="1" applyAlignment="1">
      <alignment horizontal="center" vertical="center"/>
    </xf>
    <xf numFmtId="0" fontId="6" fillId="0" borderId="26" xfId="0" applyFont="1" applyBorder="1" applyAlignment="1">
      <alignment horizontal="center" vertical="center"/>
    </xf>
    <xf numFmtId="0" fontId="6" fillId="0" borderId="9" xfId="0" applyFont="1" applyBorder="1" applyAlignment="1">
      <alignment vertical="center"/>
    </xf>
    <xf numFmtId="0" fontId="6" fillId="0" borderId="26" xfId="0" applyFont="1" applyBorder="1" applyAlignment="1">
      <alignment vertical="center"/>
    </xf>
    <xf numFmtId="0" fontId="6" fillId="0" borderId="25" xfId="0" applyFont="1" applyBorder="1" applyAlignment="1">
      <alignment vertical="center"/>
    </xf>
    <xf numFmtId="0" fontId="6" fillId="0" borderId="27" xfId="0" applyFont="1" applyBorder="1" applyAlignment="1">
      <alignment horizontal="center" vertical="center"/>
    </xf>
    <xf numFmtId="0" fontId="11" fillId="0" borderId="28" xfId="0" applyFont="1" applyBorder="1" applyAlignment="1">
      <alignment horizontal="center" vertical="center"/>
    </xf>
    <xf numFmtId="0" fontId="6" fillId="0" borderId="21" xfId="0" applyFont="1" applyBorder="1" applyAlignment="1">
      <alignment horizontal="center" vertical="center"/>
    </xf>
    <xf numFmtId="0" fontId="6" fillId="0" borderId="21" xfId="0" applyFont="1" applyFill="1" applyBorder="1" applyAlignment="1">
      <alignment horizontal="center" vertical="center"/>
    </xf>
    <xf numFmtId="0" fontId="6" fillId="0" borderId="20" xfId="0" applyFont="1" applyBorder="1" applyAlignment="1">
      <alignment horizontal="center" vertical="center"/>
    </xf>
    <xf numFmtId="0" fontId="6" fillId="0" borderId="22" xfId="0" applyFont="1" applyBorder="1" applyAlignment="1">
      <alignment horizontal="center" vertical="center"/>
    </xf>
    <xf numFmtId="0" fontId="6" fillId="0" borderId="21" xfId="0" applyFont="1" applyBorder="1" applyAlignment="1">
      <alignment vertical="center"/>
    </xf>
    <xf numFmtId="0" fontId="6" fillId="0" borderId="22" xfId="0" applyFont="1" applyBorder="1" applyAlignment="1">
      <alignment vertical="center"/>
    </xf>
    <xf numFmtId="0" fontId="7" fillId="10" borderId="17" xfId="0" applyFont="1" applyFill="1" applyBorder="1" applyAlignment="1">
      <alignment vertical="center" wrapText="1"/>
    </xf>
    <xf numFmtId="0" fontId="6" fillId="0" borderId="0" xfId="0" applyFont="1" applyFill="1"/>
    <xf numFmtId="0" fontId="6" fillId="9" borderId="12" xfId="0" applyFont="1" applyFill="1" applyBorder="1"/>
    <xf numFmtId="0" fontId="8" fillId="10" borderId="0" xfId="0" applyFont="1" applyFill="1" applyAlignment="1">
      <alignment vertical="center"/>
    </xf>
    <xf numFmtId="0" fontId="7" fillId="10" borderId="30" xfId="0" applyFont="1" applyFill="1" applyBorder="1" applyAlignment="1">
      <alignment vertical="center" textRotation="90" wrapText="1"/>
    </xf>
    <xf numFmtId="0" fontId="7" fillId="11" borderId="29" xfId="0" applyFont="1" applyFill="1" applyBorder="1" applyAlignment="1">
      <alignment vertical="center" textRotation="90" wrapText="1"/>
    </xf>
    <xf numFmtId="0" fontId="7" fillId="10" borderId="34" xfId="0" applyFont="1" applyFill="1" applyBorder="1" applyAlignment="1">
      <alignment vertical="center" textRotation="90" wrapText="1"/>
    </xf>
    <xf numFmtId="0" fontId="7" fillId="11" borderId="35" xfId="0" applyFont="1" applyFill="1" applyBorder="1" applyAlignment="1">
      <alignment vertical="center" textRotation="90" wrapText="1"/>
    </xf>
    <xf numFmtId="0" fontId="7" fillId="22" borderId="34" xfId="0" applyFont="1" applyFill="1" applyBorder="1" applyAlignment="1">
      <alignment horizontal="center" vertical="center" textRotation="90" wrapText="1"/>
    </xf>
    <xf numFmtId="0" fontId="7" fillId="22" borderId="30" xfId="0" applyFont="1" applyFill="1" applyBorder="1" applyAlignment="1">
      <alignment horizontal="center" vertical="center" textRotation="90" wrapText="1"/>
    </xf>
    <xf numFmtId="0" fontId="7" fillId="10" borderId="42" xfId="0" applyFont="1" applyFill="1" applyBorder="1" applyAlignment="1">
      <alignment vertical="center" textRotation="90" wrapText="1"/>
    </xf>
    <xf numFmtId="0" fontId="7" fillId="0" borderId="47" xfId="0" applyFont="1" applyBorder="1" applyAlignment="1">
      <alignment vertical="center"/>
    </xf>
    <xf numFmtId="0" fontId="7" fillId="0" borderId="48" xfId="0" applyFont="1" applyBorder="1" applyAlignment="1">
      <alignment horizontal="center" vertical="center"/>
    </xf>
    <xf numFmtId="0" fontId="7" fillId="0" borderId="49" xfId="0" applyFont="1" applyBorder="1" applyAlignment="1">
      <alignment horizontal="center" vertical="center"/>
    </xf>
    <xf numFmtId="0" fontId="6" fillId="0" borderId="57" xfId="0" applyFont="1" applyBorder="1" applyAlignment="1">
      <alignment horizontal="center" vertical="center"/>
    </xf>
    <xf numFmtId="0" fontId="6" fillId="0" borderId="55" xfId="0" applyFont="1" applyBorder="1" applyAlignment="1">
      <alignment horizontal="center" vertical="center"/>
    </xf>
    <xf numFmtId="0" fontId="6" fillId="0" borderId="58" xfId="0" applyFont="1" applyBorder="1" applyAlignment="1">
      <alignment horizontal="center" vertical="center"/>
    </xf>
    <xf numFmtId="0" fontId="6" fillId="0" borderId="59" xfId="0" applyFont="1" applyBorder="1" applyAlignment="1">
      <alignment horizontal="center" vertical="center"/>
    </xf>
    <xf numFmtId="0" fontId="6" fillId="0" borderId="60" xfId="0" applyFont="1" applyBorder="1" applyAlignment="1">
      <alignment horizontal="center" vertical="center"/>
    </xf>
    <xf numFmtId="0" fontId="6" fillId="0" borderId="61" xfId="0" applyFont="1" applyBorder="1" applyAlignment="1">
      <alignment horizontal="center" vertical="center"/>
    </xf>
    <xf numFmtId="0" fontId="7" fillId="0" borderId="23" xfId="0" applyFont="1" applyBorder="1" applyAlignment="1">
      <alignment vertical="center"/>
    </xf>
    <xf numFmtId="0" fontId="6" fillId="10" borderId="13" xfId="0" applyFont="1" applyFill="1" applyBorder="1" applyAlignment="1">
      <alignment horizontal="center"/>
    </xf>
    <xf numFmtId="0" fontId="6" fillId="10" borderId="11" xfId="0" applyFont="1" applyFill="1" applyBorder="1"/>
    <xf numFmtId="0" fontId="7" fillId="10" borderId="18" xfId="0" applyFont="1" applyFill="1" applyBorder="1" applyAlignment="1">
      <alignment vertical="center" wrapText="1"/>
    </xf>
    <xf numFmtId="0" fontId="7" fillId="10" borderId="18" xfId="0" applyFont="1" applyFill="1" applyBorder="1" applyAlignment="1">
      <alignment vertical="center"/>
    </xf>
    <xf numFmtId="0" fontId="6" fillId="0" borderId="0" xfId="0" applyFont="1" applyFill="1" applyAlignment="1">
      <alignment horizontal="center"/>
    </xf>
    <xf numFmtId="0" fontId="6" fillId="11" borderId="25" xfId="0" applyFont="1" applyFill="1" applyBorder="1" applyAlignment="1">
      <alignment horizontal="center" vertical="center"/>
    </xf>
    <xf numFmtId="0" fontId="6" fillId="11" borderId="20" xfId="0" applyFont="1" applyFill="1" applyBorder="1" applyAlignment="1">
      <alignment horizontal="center" vertical="center"/>
    </xf>
    <xf numFmtId="0" fontId="6" fillId="11" borderId="24" xfId="0" applyFont="1" applyFill="1" applyBorder="1" applyAlignment="1">
      <alignment vertical="center"/>
    </xf>
    <xf numFmtId="0" fontId="6" fillId="11" borderId="19" xfId="0" applyFont="1" applyFill="1" applyBorder="1" applyAlignment="1">
      <alignment vertical="center"/>
    </xf>
    <xf numFmtId="0" fontId="7" fillId="22" borderId="55" xfId="0" applyFont="1" applyFill="1" applyBorder="1" applyAlignment="1">
      <alignment vertical="center" textRotation="90" wrapText="1"/>
    </xf>
    <xf numFmtId="0" fontId="7" fillId="22" borderId="30" xfId="0" applyFont="1" applyFill="1" applyBorder="1" applyAlignment="1">
      <alignment vertical="center" textRotation="90" wrapText="1"/>
    </xf>
    <xf numFmtId="0" fontId="7" fillId="22" borderId="56" xfId="0" applyFont="1" applyFill="1" applyBorder="1" applyAlignment="1">
      <alignment vertical="center" textRotation="90" wrapText="1"/>
    </xf>
    <xf numFmtId="0" fontId="13" fillId="0" borderId="0" xfId="0" applyFont="1"/>
    <xf numFmtId="0" fontId="13" fillId="10" borderId="0" xfId="0" applyFont="1" applyFill="1"/>
    <xf numFmtId="0" fontId="19" fillId="10" borderId="0" xfId="0" applyFont="1" applyFill="1"/>
    <xf numFmtId="0" fontId="17" fillId="10" borderId="0" xfId="0" applyFont="1" applyFill="1"/>
    <xf numFmtId="0" fontId="14" fillId="10" borderId="0" xfId="0" applyFont="1" applyFill="1"/>
    <xf numFmtId="0" fontId="15" fillId="10" borderId="0" xfId="0" applyFont="1" applyFill="1" applyAlignment="1">
      <alignment horizontal="left" vertical="center" indent="1"/>
    </xf>
    <xf numFmtId="0" fontId="15" fillId="10" borderId="0" xfId="0" applyFont="1" applyFill="1" applyAlignment="1">
      <alignment horizontal="left" vertical="center" indent="2"/>
    </xf>
    <xf numFmtId="0" fontId="3" fillId="23" borderId="9" xfId="1" applyFont="1" applyFill="1" applyBorder="1" applyAlignment="1">
      <alignment horizontal="center" vertical="center" wrapText="1"/>
    </xf>
    <xf numFmtId="0" fontId="15" fillId="10" borderId="0" xfId="0" applyFont="1" applyFill="1" applyAlignment="1">
      <alignment horizontal="left" vertical="center" wrapText="1" indent="1"/>
    </xf>
    <xf numFmtId="0" fontId="7" fillId="22" borderId="63" xfId="0" applyFont="1" applyFill="1" applyBorder="1" applyAlignment="1">
      <alignment vertical="center" textRotation="90" wrapText="1"/>
    </xf>
    <xf numFmtId="0" fontId="9" fillId="10" borderId="0" xfId="0" applyFont="1" applyFill="1" applyBorder="1"/>
    <xf numFmtId="0" fontId="7" fillId="22" borderId="38" xfId="0" applyFont="1" applyFill="1" applyBorder="1" applyAlignment="1">
      <alignment horizontal="center" vertical="center" textRotation="90" wrapText="1"/>
    </xf>
    <xf numFmtId="0" fontId="6" fillId="0" borderId="25" xfId="0" applyFont="1" applyBorder="1" applyAlignment="1">
      <alignment horizontal="center" vertical="center"/>
    </xf>
    <xf numFmtId="0" fontId="8" fillId="10" borderId="0" xfId="0" applyFont="1" applyFill="1" applyBorder="1" applyAlignment="1">
      <alignment horizontal="left" vertical="center"/>
    </xf>
    <xf numFmtId="0" fontId="6" fillId="0" borderId="67" xfId="0" applyFont="1" applyBorder="1" applyAlignment="1">
      <alignment horizontal="center" vertical="center"/>
    </xf>
    <xf numFmtId="0" fontId="6" fillId="0" borderId="68" xfId="0" applyFont="1" applyBorder="1" applyAlignment="1">
      <alignment horizontal="center" vertical="center"/>
    </xf>
    <xf numFmtId="0" fontId="6" fillId="0" borderId="69" xfId="0" applyFont="1" applyBorder="1" applyAlignment="1">
      <alignment horizontal="center" vertical="center"/>
    </xf>
    <xf numFmtId="0" fontId="7" fillId="22" borderId="9" xfId="0" applyFont="1" applyFill="1" applyBorder="1" applyAlignment="1">
      <alignment horizontal="center" vertical="center" textRotation="90" wrapText="1"/>
    </xf>
    <xf numFmtId="0" fontId="6" fillId="0" borderId="29" xfId="0" applyFont="1" applyBorder="1" applyAlignment="1">
      <alignment vertical="center"/>
    </xf>
    <xf numFmtId="0" fontId="6" fillId="0" borderId="30" xfId="0" applyFont="1" applyBorder="1" applyAlignment="1">
      <alignment vertical="center"/>
    </xf>
    <xf numFmtId="0" fontId="6" fillId="0" borderId="71" xfId="0" applyFont="1" applyBorder="1" applyAlignment="1">
      <alignment horizontal="center" vertical="center"/>
    </xf>
    <xf numFmtId="0" fontId="6" fillId="0" borderId="72" xfId="0" applyFont="1" applyBorder="1" applyAlignment="1">
      <alignment horizontal="center" vertical="center"/>
    </xf>
    <xf numFmtId="0" fontId="6" fillId="0" borderId="73" xfId="0" applyFont="1" applyBorder="1" applyAlignment="1">
      <alignment horizontal="center" vertical="center"/>
    </xf>
    <xf numFmtId="0" fontId="2" fillId="0" borderId="0" xfId="2" applyNumberFormat="1" applyFont="1"/>
    <xf numFmtId="0" fontId="3" fillId="0" borderId="0" xfId="2" applyNumberFormat="1" applyFont="1" applyAlignment="1">
      <alignment horizontal="center" vertical="center" wrapText="1"/>
    </xf>
    <xf numFmtId="0" fontId="4" fillId="5" borderId="0" xfId="2" applyNumberFormat="1" applyFont="1" applyFill="1" applyAlignment="1">
      <alignment horizontal="center" vertical="center" wrapText="1"/>
    </xf>
    <xf numFmtId="0" fontId="3" fillId="0" borderId="0" xfId="2" applyNumberFormat="1" applyFont="1" applyAlignment="1">
      <alignment horizontal="center"/>
    </xf>
    <xf numFmtId="0" fontId="5" fillId="25" borderId="0" xfId="1" applyFont="1" applyFill="1" applyAlignment="1"/>
    <xf numFmtId="0" fontId="4" fillId="26" borderId="0" xfId="1" applyFont="1" applyFill="1" applyAlignment="1">
      <alignment horizontal="center" vertical="center" wrapText="1"/>
    </xf>
    <xf numFmtId="0" fontId="3" fillId="26" borderId="0" xfId="1" applyFont="1" applyFill="1" applyAlignment="1">
      <alignment horizontal="center" vertical="center" wrapText="1"/>
    </xf>
    <xf numFmtId="0" fontId="2" fillId="0" borderId="9" xfId="1" applyFont="1" applyBorder="1" applyAlignment="1">
      <alignment horizontal="center"/>
    </xf>
    <xf numFmtId="0" fontId="22" fillId="0" borderId="9" xfId="1" applyFont="1" applyBorder="1" applyAlignment="1">
      <alignment horizontal="center" wrapText="1"/>
    </xf>
    <xf numFmtId="14" fontId="2" fillId="0" borderId="9" xfId="1" applyNumberFormat="1" applyFont="1" applyBorder="1" applyAlignment="1">
      <alignment horizontal="center"/>
    </xf>
    <xf numFmtId="0" fontId="4" fillId="5" borderId="0" xfId="1" applyFont="1" applyFill="1" applyAlignment="1">
      <alignment vertical="center" wrapText="1"/>
    </xf>
    <xf numFmtId="3" fontId="4" fillId="5" borderId="0" xfId="4" applyNumberFormat="1" applyFont="1" applyFill="1" applyAlignment="1">
      <alignment horizontal="center" vertical="center" wrapText="1"/>
    </xf>
    <xf numFmtId="0" fontId="4" fillId="5" borderId="0" xfId="4" applyFont="1" applyFill="1" applyAlignment="1">
      <alignment horizontal="center" vertical="center" wrapText="1"/>
    </xf>
    <xf numFmtId="0" fontId="3" fillId="0" borderId="0" xfId="4" applyFont="1" applyAlignment="1">
      <alignment horizontal="center" vertical="center" wrapText="1"/>
    </xf>
    <xf numFmtId="0" fontId="2" fillId="0" borderId="25" xfId="1" applyFont="1" applyBorder="1" applyAlignment="1">
      <alignment horizontal="center"/>
    </xf>
    <xf numFmtId="0" fontId="2" fillId="0" borderId="37" xfId="1" applyFont="1" applyBorder="1" applyAlignment="1">
      <alignment horizontal="center"/>
    </xf>
    <xf numFmtId="0" fontId="2" fillId="0" borderId="27" xfId="1" applyFont="1" applyBorder="1" applyAlignment="1">
      <alignment horizontal="center"/>
    </xf>
    <xf numFmtId="9" fontId="2" fillId="0" borderId="9" xfId="3" applyFont="1" applyBorder="1" applyAlignment="1">
      <alignment horizontal="center"/>
    </xf>
    <xf numFmtId="9" fontId="2" fillId="0" borderId="0" xfId="3" applyFont="1"/>
    <xf numFmtId="0" fontId="2" fillId="0" borderId="9" xfId="0" applyFont="1" applyBorder="1" applyAlignment="1">
      <alignment horizontal="center" vertical="center" wrapText="1"/>
    </xf>
    <xf numFmtId="0" fontId="2" fillId="0" borderId="9" xfId="0" applyFont="1" applyBorder="1" applyAlignment="1">
      <alignment horizontal="center" vertical="center"/>
    </xf>
    <xf numFmtId="0" fontId="22" fillId="0" borderId="9" xfId="0" applyFont="1" applyBorder="1" applyAlignment="1">
      <alignment horizontal="center"/>
    </xf>
    <xf numFmtId="0" fontId="2" fillId="0" borderId="9" xfId="0" applyFont="1" applyBorder="1" applyAlignment="1">
      <alignment horizontal="center"/>
    </xf>
    <xf numFmtId="0" fontId="3" fillId="0" borderId="9" xfId="0" applyFont="1" applyBorder="1" applyAlignment="1">
      <alignment horizontal="center"/>
    </xf>
    <xf numFmtId="14" fontId="2" fillId="0" borderId="0" xfId="0" applyNumberFormat="1" applyFont="1"/>
    <xf numFmtId="0" fontId="22" fillId="0" borderId="9" xfId="0" applyFont="1" applyBorder="1" applyAlignment="1">
      <alignment horizontal="center" wrapText="1"/>
    </xf>
    <xf numFmtId="0" fontId="23" fillId="0" borderId="9" xfId="0" applyFont="1" applyBorder="1" applyAlignment="1">
      <alignment horizontal="center" vertical="center"/>
    </xf>
    <xf numFmtId="0" fontId="7" fillId="16" borderId="41" xfId="0" applyFont="1" applyFill="1" applyBorder="1" applyAlignment="1">
      <alignment horizontal="center" vertical="center" wrapText="1"/>
    </xf>
    <xf numFmtId="0" fontId="7" fillId="16" borderId="40" xfId="0" applyFont="1" applyFill="1" applyBorder="1" applyAlignment="1">
      <alignment horizontal="center" vertical="center" wrapText="1"/>
    </xf>
    <xf numFmtId="0" fontId="7" fillId="16" borderId="33" xfId="0" applyFont="1" applyFill="1" applyBorder="1" applyAlignment="1">
      <alignment horizontal="center" vertical="center" wrapText="1"/>
    </xf>
    <xf numFmtId="0" fontId="7" fillId="16" borderId="39" xfId="0" applyFont="1" applyFill="1" applyBorder="1" applyAlignment="1">
      <alignment horizontal="center" vertical="center" wrapText="1"/>
    </xf>
    <xf numFmtId="0" fontId="12" fillId="0" borderId="44" xfId="0" applyFont="1" applyBorder="1" applyAlignment="1">
      <alignment horizontal="center" vertical="center" wrapText="1"/>
    </xf>
    <xf numFmtId="0" fontId="12" fillId="0" borderId="43" xfId="0" applyFont="1" applyBorder="1" applyAlignment="1">
      <alignment horizontal="center" vertical="center" wrapText="1"/>
    </xf>
    <xf numFmtId="0" fontId="7" fillId="10" borderId="16" xfId="0" applyFont="1" applyFill="1" applyBorder="1" applyAlignment="1">
      <alignment horizontal="left" vertical="center" wrapText="1"/>
    </xf>
    <xf numFmtId="0" fontId="7" fillId="10" borderId="15" xfId="0" applyFont="1" applyFill="1" applyBorder="1" applyAlignment="1">
      <alignment horizontal="center" vertical="center" wrapText="1"/>
    </xf>
    <xf numFmtId="0" fontId="7" fillId="10" borderId="70" xfId="0" applyFont="1" applyFill="1" applyBorder="1" applyAlignment="1">
      <alignment horizontal="center" vertical="center" wrapText="1"/>
    </xf>
    <xf numFmtId="0" fontId="10" fillId="12" borderId="40" xfId="0" applyFont="1" applyFill="1" applyBorder="1" applyAlignment="1">
      <alignment horizontal="center" vertical="center" wrapText="1"/>
    </xf>
    <xf numFmtId="0" fontId="10" fillId="12" borderId="46" xfId="0" applyFont="1" applyFill="1" applyBorder="1" applyAlignment="1">
      <alignment horizontal="center" vertical="center" wrapText="1"/>
    </xf>
    <xf numFmtId="0" fontId="10" fillId="12" borderId="39" xfId="0" applyFont="1" applyFill="1" applyBorder="1" applyAlignment="1">
      <alignment horizontal="center" vertical="center" wrapText="1"/>
    </xf>
    <xf numFmtId="0" fontId="10" fillId="12" borderId="31" xfId="0" applyFont="1" applyFill="1" applyBorder="1" applyAlignment="1">
      <alignment horizontal="center" vertical="center" wrapText="1"/>
    </xf>
    <xf numFmtId="0" fontId="8" fillId="10" borderId="25" xfId="0" applyFont="1" applyFill="1" applyBorder="1" applyAlignment="1">
      <alignment horizontal="left" vertical="center"/>
    </xf>
    <xf numFmtId="0" fontId="8" fillId="10" borderId="38" xfId="0" applyFont="1" applyFill="1" applyBorder="1" applyAlignment="1">
      <alignment horizontal="left" vertical="center"/>
    </xf>
    <xf numFmtId="0" fontId="8" fillId="10" borderId="37" xfId="0" applyFont="1" applyFill="1" applyBorder="1" applyAlignment="1">
      <alignment horizontal="left" vertical="center"/>
    </xf>
    <xf numFmtId="0" fontId="7" fillId="10" borderId="41" xfId="0" applyFont="1" applyFill="1" applyBorder="1" applyAlignment="1">
      <alignment horizontal="center" vertical="center" textRotation="90" wrapText="1"/>
    </xf>
    <xf numFmtId="0" fontId="7" fillId="10" borderId="36" xfId="0" applyFont="1" applyFill="1" applyBorder="1" applyAlignment="1">
      <alignment horizontal="center" vertical="center" textRotation="90" wrapText="1"/>
    </xf>
    <xf numFmtId="0" fontId="7" fillId="10" borderId="33" xfId="0" applyFont="1" applyFill="1" applyBorder="1" applyAlignment="1">
      <alignment horizontal="center" vertical="center" textRotation="90" wrapText="1"/>
    </xf>
    <xf numFmtId="0" fontId="7" fillId="11" borderId="15" xfId="0" applyFont="1" applyFill="1" applyBorder="1" applyAlignment="1">
      <alignment horizontal="center" vertical="center" wrapText="1"/>
    </xf>
    <xf numFmtId="0" fontId="7" fillId="11" borderId="70" xfId="0" applyFont="1" applyFill="1" applyBorder="1" applyAlignment="1">
      <alignment horizontal="center" vertical="center" wrapText="1"/>
    </xf>
    <xf numFmtId="0" fontId="7" fillId="10" borderId="15" xfId="0" applyFont="1" applyFill="1" applyBorder="1" applyAlignment="1">
      <alignment horizontal="left" vertical="center" wrapText="1"/>
    </xf>
    <xf numFmtId="0" fontId="7" fillId="24" borderId="9" xfId="0" applyFont="1" applyFill="1" applyBorder="1" applyAlignment="1">
      <alignment horizontal="center" vertical="center" wrapText="1"/>
    </xf>
    <xf numFmtId="0" fontId="6" fillId="11" borderId="9" xfId="0" applyFont="1" applyFill="1" applyBorder="1" applyAlignment="1">
      <alignment horizontal="left" vertical="center" wrapText="1"/>
    </xf>
    <xf numFmtId="0" fontId="7" fillId="11" borderId="9" xfId="0" applyFont="1" applyFill="1" applyBorder="1" applyAlignment="1">
      <alignment horizontal="left" vertical="center" wrapText="1"/>
    </xf>
    <xf numFmtId="0" fontId="7" fillId="10" borderId="50" xfId="0" applyFont="1" applyFill="1" applyBorder="1" applyAlignment="1">
      <alignment horizontal="center" vertical="center" wrapText="1"/>
    </xf>
    <xf numFmtId="0" fontId="7" fillId="10" borderId="51" xfId="0" applyFont="1" applyFill="1" applyBorder="1" applyAlignment="1">
      <alignment horizontal="center" vertical="center" wrapText="1"/>
    </xf>
    <xf numFmtId="0" fontId="7" fillId="10" borderId="52" xfId="0" applyFont="1" applyFill="1" applyBorder="1" applyAlignment="1">
      <alignment horizontal="center" vertical="center" wrapText="1"/>
    </xf>
    <xf numFmtId="0" fontId="7" fillId="10" borderId="53" xfId="0" applyFont="1" applyFill="1" applyBorder="1" applyAlignment="1">
      <alignment horizontal="center" vertical="center" wrapText="1"/>
    </xf>
    <xf numFmtId="0" fontId="7" fillId="10" borderId="39" xfId="0" applyFont="1" applyFill="1" applyBorder="1" applyAlignment="1">
      <alignment horizontal="center" vertical="center" wrapText="1"/>
    </xf>
    <xf numFmtId="0" fontId="7" fillId="10" borderId="54" xfId="0" applyFont="1" applyFill="1" applyBorder="1" applyAlignment="1">
      <alignment horizontal="center" vertical="center" wrapText="1"/>
    </xf>
    <xf numFmtId="0" fontId="10" fillId="13" borderId="41" xfId="0" applyFont="1" applyFill="1" applyBorder="1" applyAlignment="1">
      <alignment horizontal="center" vertical="center" wrapText="1"/>
    </xf>
    <xf numFmtId="0" fontId="10" fillId="13" borderId="40" xfId="0" applyFont="1" applyFill="1" applyBorder="1" applyAlignment="1">
      <alignment horizontal="center" vertical="center" wrapText="1"/>
    </xf>
    <xf numFmtId="0" fontId="10" fillId="13" borderId="46" xfId="0" applyFont="1" applyFill="1" applyBorder="1" applyAlignment="1">
      <alignment horizontal="center" vertical="center" wrapText="1"/>
    </xf>
    <xf numFmtId="0" fontId="10" fillId="13" borderId="33" xfId="0" applyFont="1" applyFill="1" applyBorder="1" applyAlignment="1">
      <alignment horizontal="center" vertical="center" wrapText="1"/>
    </xf>
    <xf numFmtId="0" fontId="10" fillId="13" borderId="39" xfId="0" applyFont="1" applyFill="1" applyBorder="1" applyAlignment="1">
      <alignment horizontal="center" vertical="center" wrapText="1"/>
    </xf>
    <xf numFmtId="0" fontId="10" fillId="13" borderId="31" xfId="0" applyFont="1" applyFill="1" applyBorder="1" applyAlignment="1">
      <alignment horizontal="center" vertical="center" wrapText="1"/>
    </xf>
    <xf numFmtId="0" fontId="10" fillId="14" borderId="41" xfId="0" applyFont="1" applyFill="1" applyBorder="1" applyAlignment="1">
      <alignment horizontal="center" vertical="center" wrapText="1"/>
    </xf>
    <xf numFmtId="0" fontId="10" fillId="14" borderId="40" xfId="0" applyFont="1" applyFill="1" applyBorder="1" applyAlignment="1">
      <alignment horizontal="center" vertical="center" wrapText="1"/>
    </xf>
    <xf numFmtId="0" fontId="10" fillId="14" borderId="46" xfId="0" applyFont="1" applyFill="1" applyBorder="1" applyAlignment="1">
      <alignment horizontal="center" vertical="center" wrapText="1"/>
    </xf>
    <xf numFmtId="0" fontId="10" fillId="14" borderId="33" xfId="0" applyFont="1" applyFill="1" applyBorder="1" applyAlignment="1">
      <alignment horizontal="center" vertical="center" wrapText="1"/>
    </xf>
    <xf numFmtId="0" fontId="10" fillId="14" borderId="39" xfId="0" applyFont="1" applyFill="1" applyBorder="1" applyAlignment="1">
      <alignment horizontal="center" vertical="center" wrapText="1"/>
    </xf>
    <xf numFmtId="0" fontId="10" fillId="14" borderId="31" xfId="0" applyFont="1" applyFill="1" applyBorder="1" applyAlignment="1">
      <alignment horizontal="center" vertical="center" wrapText="1"/>
    </xf>
    <xf numFmtId="0" fontId="7" fillId="15" borderId="41" xfId="0" applyFont="1" applyFill="1" applyBorder="1" applyAlignment="1">
      <alignment horizontal="center" vertical="center" wrapText="1"/>
    </xf>
    <xf numFmtId="0" fontId="7" fillId="15" borderId="40" xfId="0" applyFont="1" applyFill="1" applyBorder="1" applyAlignment="1">
      <alignment horizontal="center" vertical="center" wrapText="1"/>
    </xf>
    <xf numFmtId="0" fontId="7" fillId="15" borderId="46" xfId="0" applyFont="1" applyFill="1" applyBorder="1" applyAlignment="1">
      <alignment horizontal="center" vertical="center" wrapText="1"/>
    </xf>
    <xf numFmtId="0" fontId="7" fillId="15" borderId="33" xfId="0" applyFont="1" applyFill="1" applyBorder="1" applyAlignment="1">
      <alignment horizontal="center" vertical="center" wrapText="1"/>
    </xf>
    <xf numFmtId="0" fontId="7" fillId="15" borderId="39" xfId="0" applyFont="1" applyFill="1" applyBorder="1" applyAlignment="1">
      <alignment horizontal="center" vertical="center" wrapText="1"/>
    </xf>
    <xf numFmtId="0" fontId="7" fillId="15" borderId="31" xfId="0" applyFont="1" applyFill="1" applyBorder="1" applyAlignment="1">
      <alignment horizontal="center" vertical="center" wrapText="1"/>
    </xf>
    <xf numFmtId="0" fontId="7" fillId="10" borderId="64" xfId="0" applyFont="1" applyFill="1" applyBorder="1" applyAlignment="1">
      <alignment horizontal="center" vertical="center" wrapText="1"/>
    </xf>
    <xf numFmtId="0" fontId="7" fillId="10" borderId="65" xfId="0" applyFont="1" applyFill="1" applyBorder="1" applyAlignment="1">
      <alignment horizontal="center" vertical="center" wrapText="1"/>
    </xf>
    <xf numFmtId="0" fontId="7" fillId="10" borderId="66" xfId="0" applyFont="1" applyFill="1" applyBorder="1" applyAlignment="1">
      <alignment horizontal="center" vertical="center" wrapText="1"/>
    </xf>
    <xf numFmtId="0" fontId="7" fillId="0" borderId="9" xfId="0" applyFont="1" applyBorder="1" applyAlignment="1">
      <alignment horizontal="left" vertical="center" wrapText="1"/>
    </xf>
    <xf numFmtId="0" fontId="7" fillId="8" borderId="15" xfId="0" applyFont="1" applyFill="1" applyBorder="1" applyAlignment="1">
      <alignment horizontal="center" vertical="center" wrapText="1"/>
    </xf>
    <xf numFmtId="0" fontId="7" fillId="8" borderId="70" xfId="0" applyFont="1" applyFill="1" applyBorder="1" applyAlignment="1">
      <alignment horizontal="center" vertical="center" wrapText="1"/>
    </xf>
    <xf numFmtId="0" fontId="7" fillId="8" borderId="16" xfId="0" applyFont="1" applyFill="1" applyBorder="1" applyAlignment="1">
      <alignment horizontal="center" vertical="center" wrapText="1"/>
    </xf>
    <xf numFmtId="0" fontId="7" fillId="8" borderId="45"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10" borderId="27" xfId="0" applyFont="1" applyFill="1" applyBorder="1" applyAlignment="1">
      <alignment horizontal="left" vertical="center" wrapText="1"/>
    </xf>
    <xf numFmtId="0" fontId="7" fillId="10" borderId="9" xfId="0" applyFont="1" applyFill="1" applyBorder="1" applyAlignment="1">
      <alignment horizontal="left" vertical="center" wrapText="1"/>
    </xf>
    <xf numFmtId="0" fontId="7" fillId="10" borderId="62" xfId="0" applyFont="1" applyFill="1" applyBorder="1" applyAlignment="1">
      <alignment horizontal="center" vertical="center" wrapText="1"/>
    </xf>
    <xf numFmtId="0" fontId="7" fillId="10" borderId="0" xfId="0" applyFont="1" applyFill="1" applyBorder="1" applyAlignment="1">
      <alignment horizontal="center" vertical="center" wrapText="1"/>
    </xf>
    <xf numFmtId="0" fontId="7" fillId="10" borderId="74" xfId="0" applyFont="1" applyFill="1" applyBorder="1" applyAlignment="1">
      <alignment horizontal="center" vertical="center" wrapText="1"/>
    </xf>
    <xf numFmtId="0" fontId="2" fillId="0" borderId="25" xfId="0" applyFont="1" applyBorder="1" applyAlignment="1">
      <alignment horizontal="center"/>
    </xf>
    <xf numFmtId="0" fontId="2" fillId="0" borderId="37" xfId="0" applyFont="1" applyBorder="1" applyAlignment="1">
      <alignment horizontal="center"/>
    </xf>
    <xf numFmtId="0" fontId="2" fillId="0" borderId="27" xfId="0" applyFont="1" applyBorder="1" applyAlignment="1">
      <alignment horizontal="center"/>
    </xf>
    <xf numFmtId="0" fontId="2" fillId="0" borderId="25" xfId="1" applyFont="1" applyBorder="1" applyAlignment="1">
      <alignment horizontal="center"/>
    </xf>
    <xf numFmtId="0" fontId="2" fillId="0" borderId="37" xfId="1" applyFont="1" applyBorder="1" applyAlignment="1">
      <alignment horizontal="center"/>
    </xf>
    <xf numFmtId="0" fontId="2" fillId="0" borderId="27" xfId="1" applyFont="1" applyBorder="1" applyAlignment="1">
      <alignment horizontal="center"/>
    </xf>
    <xf numFmtId="0" fontId="4" fillId="5" borderId="0" xfId="1" applyFont="1" applyFill="1" applyAlignment="1">
      <alignment horizontal="center" vertical="center" wrapText="1"/>
    </xf>
    <xf numFmtId="0" fontId="5" fillId="0" borderId="0" xfId="1" applyFont="1" applyAlignment="1"/>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3" fillId="17" borderId="1" xfId="1" applyFont="1" applyFill="1" applyBorder="1" applyAlignment="1">
      <alignment horizontal="center" vertical="center" wrapText="1"/>
    </xf>
    <xf numFmtId="0" fontId="3" fillId="17" borderId="0" xfId="1" applyFont="1" applyFill="1" applyBorder="1" applyAlignment="1">
      <alignment horizontal="center" vertical="center" wrapText="1"/>
    </xf>
    <xf numFmtId="0" fontId="3" fillId="18" borderId="9" xfId="1" applyFont="1" applyFill="1" applyBorder="1" applyAlignment="1">
      <alignment horizontal="center" vertical="center" wrapText="1"/>
    </xf>
    <xf numFmtId="0" fontId="3" fillId="20" borderId="9" xfId="1" applyFont="1" applyFill="1" applyBorder="1" applyAlignment="1">
      <alignment horizontal="center" vertical="center" wrapText="1"/>
    </xf>
    <xf numFmtId="0" fontId="2" fillId="21" borderId="9" xfId="1" applyFont="1" applyFill="1" applyBorder="1"/>
    <xf numFmtId="0" fontId="3" fillId="4" borderId="2" xfId="1" applyFont="1" applyFill="1" applyBorder="1" applyAlignment="1">
      <alignment horizontal="center" vertical="center"/>
    </xf>
    <xf numFmtId="0" fontId="2" fillId="0" borderId="3" xfId="1" applyFont="1" applyBorder="1"/>
    <xf numFmtId="0" fontId="2" fillId="0" borderId="4" xfId="1" applyFont="1" applyBorder="1"/>
    <xf numFmtId="0" fontId="3" fillId="4" borderId="2" xfId="1" applyFont="1" applyFill="1" applyBorder="1" applyAlignment="1">
      <alignment horizontal="center" vertical="center" wrapText="1"/>
    </xf>
    <xf numFmtId="0" fontId="3" fillId="7" borderId="2" xfId="1" applyFont="1" applyFill="1" applyBorder="1" applyAlignment="1">
      <alignment horizontal="center" vertical="center" wrapText="1"/>
    </xf>
    <xf numFmtId="0" fontId="2" fillId="8" borderId="3" xfId="1" applyFont="1" applyFill="1" applyBorder="1"/>
    <xf numFmtId="0" fontId="2" fillId="8" borderId="4" xfId="1" applyFont="1" applyFill="1" applyBorder="1"/>
  </cellXfs>
  <cellStyles count="5">
    <cellStyle name="Moneda" xfId="2" builtinId="4"/>
    <cellStyle name="Normal" xfId="0" builtinId="0"/>
    <cellStyle name="Normal 2" xfId="1" xr:uid="{00000000-0005-0000-0000-000001000000}"/>
    <cellStyle name="Normal 2 2" xfId="4" xr:uid="{F621A190-9CCF-478A-B678-A587A4663235}"/>
    <cellStyle name="Porcentaje" xfId="3" builtinId="5"/>
  </cellStyles>
  <dxfs count="0"/>
  <tableStyles count="0" defaultTableStyle="TableStyleMedium2" defaultPivotStyle="PivotStyleLight16"/>
  <colors>
    <mruColors>
      <color rgb="FF9C234B"/>
      <color rgb="FFE7D295"/>
      <color rgb="FFFFE7D2"/>
      <color rgb="FFA6802D"/>
      <color rgb="FF621333"/>
      <color rgb="FF002F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246529</xdr:colOff>
      <xdr:row>1</xdr:row>
      <xdr:rowOff>89647</xdr:rowOff>
    </xdr:from>
    <xdr:ext cx="2173941" cy="869016"/>
    <xdr:pic>
      <xdr:nvPicPr>
        <xdr:cNvPr id="2" name="Imagen 1">
          <a:extLst>
            <a:ext uri="{FF2B5EF4-FFF2-40B4-BE49-F238E27FC236}">
              <a16:creationId xmlns:a16="http://schemas.microsoft.com/office/drawing/2014/main" id="{CE630649-CE8F-0CA1-EA31-727F5C8B6399}"/>
            </a:ext>
          </a:extLst>
        </xdr:cNvPr>
        <xdr:cNvPicPr>
          <a:picLocks noChangeAspect="1"/>
        </xdr:cNvPicPr>
      </xdr:nvPicPr>
      <xdr:blipFill>
        <a:blip xmlns:r="http://schemas.openxmlformats.org/officeDocument/2006/relationships" r:embed="rId1"/>
        <a:stretch>
          <a:fillRect/>
        </a:stretch>
      </xdr:blipFill>
      <xdr:spPr>
        <a:xfrm>
          <a:off x="246529" y="470647"/>
          <a:ext cx="2173941" cy="869016"/>
        </a:xfrm>
        <a:prstGeom prst="rect">
          <a:avLst/>
        </a:prstGeom>
      </xdr:spPr>
    </xdr:pic>
    <xdr:clientData/>
  </xdr:oneCellAnchor>
  <xdr:oneCellAnchor>
    <xdr:from>
      <xdr:col>44</xdr:col>
      <xdr:colOff>336177</xdr:colOff>
      <xdr:row>1</xdr:row>
      <xdr:rowOff>33618</xdr:rowOff>
    </xdr:from>
    <xdr:ext cx="3774600" cy="1127489"/>
    <xdr:pic>
      <xdr:nvPicPr>
        <xdr:cNvPr id="3" name="Imagen 2">
          <a:extLst>
            <a:ext uri="{FF2B5EF4-FFF2-40B4-BE49-F238E27FC236}">
              <a16:creationId xmlns:a16="http://schemas.microsoft.com/office/drawing/2014/main" id="{647AE624-313F-2E98-C6C6-39C2D1311773}"/>
            </a:ext>
          </a:extLst>
        </xdr:cNvPr>
        <xdr:cNvPicPr>
          <a:picLocks noChangeAspect="1"/>
        </xdr:cNvPicPr>
      </xdr:nvPicPr>
      <xdr:blipFill>
        <a:blip xmlns:r="http://schemas.openxmlformats.org/officeDocument/2006/relationships" r:embed="rId2"/>
        <a:stretch>
          <a:fillRect/>
        </a:stretch>
      </xdr:blipFill>
      <xdr:spPr>
        <a:xfrm>
          <a:off x="15195177" y="414618"/>
          <a:ext cx="3774600" cy="1127489"/>
        </a:xfrm>
        <a:prstGeom prst="rect">
          <a:avLst/>
        </a:prstGeom>
      </xdr:spPr>
    </xdr:pic>
    <xdr:clientData/>
  </xdr:oneCellAnchor>
  <xdr:oneCellAnchor>
    <xdr:from>
      <xdr:col>50</xdr:col>
      <xdr:colOff>377639</xdr:colOff>
      <xdr:row>7</xdr:row>
      <xdr:rowOff>1121</xdr:rowOff>
    </xdr:from>
    <xdr:ext cx="281744" cy="280205"/>
    <xdr:sp macro="" textlink="">
      <xdr:nvSpPr>
        <xdr:cNvPr id="4" name="CuadroTexto 3">
          <a:extLst>
            <a:ext uri="{FF2B5EF4-FFF2-40B4-BE49-F238E27FC236}">
              <a16:creationId xmlns:a16="http://schemas.microsoft.com/office/drawing/2014/main" id="{10B7DD1C-225F-2C7C-C686-35881AAA77A0}"/>
            </a:ext>
          </a:extLst>
        </xdr:cNvPr>
        <xdr:cNvSpPr txBox="1"/>
      </xdr:nvSpPr>
      <xdr:spPr>
        <a:xfrm>
          <a:off x="17522639" y="2668121"/>
          <a:ext cx="2817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H</a:t>
          </a:r>
        </a:p>
      </xdr:txBody>
    </xdr:sp>
    <xdr:clientData/>
  </xdr:oneCellAnchor>
  <xdr:oneCellAnchor>
    <xdr:from>
      <xdr:col>52</xdr:col>
      <xdr:colOff>2650</xdr:colOff>
      <xdr:row>7</xdr:row>
      <xdr:rowOff>3922</xdr:rowOff>
    </xdr:from>
    <xdr:ext cx="319190" cy="280205"/>
    <xdr:sp macro="" textlink="">
      <xdr:nvSpPr>
        <xdr:cNvPr id="5" name="CuadroTexto 4">
          <a:extLst>
            <a:ext uri="{FF2B5EF4-FFF2-40B4-BE49-F238E27FC236}">
              <a16:creationId xmlns:a16="http://schemas.microsoft.com/office/drawing/2014/main" id="{E4EA2D8D-B9F3-40E9-8800-45B38F102F48}"/>
            </a:ext>
          </a:extLst>
        </xdr:cNvPr>
        <xdr:cNvSpPr txBox="1"/>
      </xdr:nvSpPr>
      <xdr:spPr>
        <a:xfrm>
          <a:off x="17909650" y="2670922"/>
          <a:ext cx="31919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MX" sz="1200" b="1"/>
            <a:t>M</a:t>
          </a:r>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workbookViewId="0">
      <selection activeCell="G22" sqref="G22"/>
    </sheetView>
  </sheetViews>
  <sheetFormatPr baseColWidth="10" defaultColWidth="11.453125" defaultRowHeight="13" x14ac:dyDescent="0.35"/>
  <cols>
    <col min="1" max="1" width="5" style="104" customWidth="1"/>
    <col min="2" max="2" width="165.81640625" style="104" customWidth="1"/>
    <col min="3" max="3" width="8.26953125" style="104" customWidth="1"/>
    <col min="4" max="16384" width="11.453125" style="104"/>
  </cols>
  <sheetData>
    <row r="1" spans="1:3" x14ac:dyDescent="0.35">
      <c r="A1" s="105"/>
      <c r="B1" s="105"/>
      <c r="C1" s="105"/>
    </row>
    <row r="2" spans="1:3" ht="18" x14ac:dyDescent="0.5">
      <c r="A2" s="105"/>
      <c r="B2" s="106" t="s">
        <v>127</v>
      </c>
      <c r="C2" s="105"/>
    </row>
    <row r="3" spans="1:3" ht="6.75" customHeight="1" x14ac:dyDescent="0.35">
      <c r="A3" s="105"/>
      <c r="B3" s="105"/>
      <c r="C3" s="105"/>
    </row>
    <row r="4" spans="1:3" ht="14.5" x14ac:dyDescent="0.4">
      <c r="A4" s="105"/>
      <c r="B4" s="107" t="s">
        <v>98</v>
      </c>
      <c r="C4" s="105"/>
    </row>
    <row r="5" spans="1:3" x14ac:dyDescent="0.35">
      <c r="A5" s="105"/>
      <c r="B5" s="105" t="s">
        <v>128</v>
      </c>
      <c r="C5" s="105"/>
    </row>
    <row r="6" spans="1:3" x14ac:dyDescent="0.35">
      <c r="A6" s="105"/>
      <c r="B6" s="105"/>
      <c r="C6" s="105"/>
    </row>
    <row r="7" spans="1:3" x14ac:dyDescent="0.35">
      <c r="A7" s="105"/>
      <c r="B7" s="108" t="s">
        <v>99</v>
      </c>
      <c r="C7" s="105"/>
    </row>
    <row r="8" spans="1:3" x14ac:dyDescent="0.35">
      <c r="A8" s="105"/>
      <c r="B8" s="109" t="s">
        <v>107</v>
      </c>
      <c r="C8" s="105"/>
    </row>
    <row r="9" spans="1:3" x14ac:dyDescent="0.35">
      <c r="A9" s="105"/>
      <c r="B9" s="109" t="s">
        <v>108</v>
      </c>
      <c r="C9" s="105"/>
    </row>
    <row r="10" spans="1:3" x14ac:dyDescent="0.35">
      <c r="A10" s="105"/>
      <c r="B10" s="109" t="s">
        <v>137</v>
      </c>
      <c r="C10" s="105"/>
    </row>
    <row r="11" spans="1:3" x14ac:dyDescent="0.35">
      <c r="A11" s="105"/>
      <c r="B11" s="109" t="s">
        <v>109</v>
      </c>
      <c r="C11" s="105"/>
    </row>
    <row r="12" spans="1:3" x14ac:dyDescent="0.35">
      <c r="A12" s="105"/>
      <c r="B12" s="109" t="s">
        <v>129</v>
      </c>
      <c r="C12" s="105"/>
    </row>
    <row r="13" spans="1:3" x14ac:dyDescent="0.35">
      <c r="A13" s="105"/>
      <c r="B13" s="105"/>
      <c r="C13" s="105"/>
    </row>
    <row r="14" spans="1:3" x14ac:dyDescent="0.35">
      <c r="A14" s="105"/>
      <c r="B14" s="108" t="s">
        <v>100</v>
      </c>
      <c r="C14" s="105"/>
    </row>
    <row r="15" spans="1:3" x14ac:dyDescent="0.35">
      <c r="A15" s="105"/>
      <c r="B15" s="109" t="s">
        <v>110</v>
      </c>
      <c r="C15" s="105"/>
    </row>
    <row r="16" spans="1:3" x14ac:dyDescent="0.35">
      <c r="A16" s="105"/>
      <c r="B16" s="109" t="s">
        <v>101</v>
      </c>
      <c r="C16" s="105"/>
    </row>
    <row r="17" spans="1:3" x14ac:dyDescent="0.35">
      <c r="A17" s="105"/>
      <c r="B17" s="110" t="s">
        <v>130</v>
      </c>
      <c r="C17" s="105"/>
    </row>
    <row r="18" spans="1:3" x14ac:dyDescent="0.35">
      <c r="A18" s="105"/>
      <c r="B18" s="110" t="s">
        <v>131</v>
      </c>
      <c r="C18" s="105"/>
    </row>
    <row r="19" spans="1:3" x14ac:dyDescent="0.35">
      <c r="A19" s="105"/>
      <c r="B19" s="110" t="s">
        <v>132</v>
      </c>
      <c r="C19" s="105"/>
    </row>
    <row r="20" spans="1:3" x14ac:dyDescent="0.35">
      <c r="A20" s="105"/>
      <c r="B20" s="110" t="s">
        <v>133</v>
      </c>
      <c r="C20" s="105"/>
    </row>
    <row r="21" spans="1:3" x14ac:dyDescent="0.35">
      <c r="A21" s="105"/>
      <c r="B21" s="109" t="s">
        <v>111</v>
      </c>
      <c r="C21" s="105"/>
    </row>
    <row r="22" spans="1:3" x14ac:dyDescent="0.35">
      <c r="A22" s="105"/>
      <c r="B22" s="109" t="s">
        <v>112</v>
      </c>
      <c r="C22" s="105"/>
    </row>
    <row r="23" spans="1:3" x14ac:dyDescent="0.35">
      <c r="A23" s="105"/>
      <c r="B23" s="109" t="s">
        <v>113</v>
      </c>
      <c r="C23" s="105"/>
    </row>
    <row r="24" spans="1:3" x14ac:dyDescent="0.35">
      <c r="A24" s="105"/>
      <c r="B24" s="109" t="s">
        <v>114</v>
      </c>
      <c r="C24" s="105"/>
    </row>
    <row r="25" spans="1:3" x14ac:dyDescent="0.35">
      <c r="A25" s="105"/>
      <c r="B25" s="109" t="s">
        <v>102</v>
      </c>
      <c r="C25" s="105"/>
    </row>
    <row r="26" spans="1:3" x14ac:dyDescent="0.35">
      <c r="A26" s="105"/>
      <c r="B26" s="110" t="s">
        <v>115</v>
      </c>
      <c r="C26" s="105"/>
    </row>
    <row r="27" spans="1:3" x14ac:dyDescent="0.35">
      <c r="A27" s="105"/>
      <c r="B27" s="110" t="s">
        <v>116</v>
      </c>
      <c r="C27" s="105"/>
    </row>
    <row r="28" spans="1:3" x14ac:dyDescent="0.35">
      <c r="A28" s="105"/>
      <c r="B28" s="110" t="s">
        <v>117</v>
      </c>
      <c r="C28" s="105"/>
    </row>
    <row r="29" spans="1:3" x14ac:dyDescent="0.35">
      <c r="A29" s="105"/>
      <c r="B29" s="110" t="s">
        <v>118</v>
      </c>
      <c r="C29" s="105"/>
    </row>
    <row r="30" spans="1:3" x14ac:dyDescent="0.35">
      <c r="A30" s="105"/>
      <c r="B30" s="105"/>
      <c r="C30" s="105"/>
    </row>
    <row r="31" spans="1:3" ht="14.5" x14ac:dyDescent="0.4">
      <c r="A31" s="105"/>
      <c r="B31" s="107" t="s">
        <v>103</v>
      </c>
      <c r="C31" s="105"/>
    </row>
    <row r="32" spans="1:3" x14ac:dyDescent="0.35">
      <c r="A32" s="105"/>
      <c r="B32" s="105" t="s">
        <v>146</v>
      </c>
      <c r="C32" s="105"/>
    </row>
    <row r="33" spans="1:3" x14ac:dyDescent="0.35">
      <c r="A33" s="105"/>
      <c r="B33" s="105"/>
      <c r="C33" s="105"/>
    </row>
    <row r="34" spans="1:3" x14ac:dyDescent="0.35">
      <c r="A34" s="105"/>
      <c r="B34" s="108" t="s">
        <v>104</v>
      </c>
      <c r="C34" s="105"/>
    </row>
    <row r="35" spans="1:3" x14ac:dyDescent="0.35">
      <c r="A35" s="105"/>
      <c r="B35" s="109" t="s">
        <v>134</v>
      </c>
      <c r="C35" s="105"/>
    </row>
    <row r="36" spans="1:3" x14ac:dyDescent="0.35">
      <c r="A36" s="105"/>
      <c r="B36" s="109" t="s">
        <v>142</v>
      </c>
      <c r="C36" s="105"/>
    </row>
    <row r="37" spans="1:3" x14ac:dyDescent="0.35">
      <c r="A37" s="105"/>
      <c r="B37" s="109" t="s">
        <v>105</v>
      </c>
      <c r="C37" s="105"/>
    </row>
    <row r="38" spans="1:3" x14ac:dyDescent="0.35">
      <c r="A38" s="105"/>
      <c r="B38" s="110" t="s">
        <v>119</v>
      </c>
      <c r="C38" s="105"/>
    </row>
    <row r="39" spans="1:3" x14ac:dyDescent="0.35">
      <c r="A39" s="105"/>
      <c r="B39" s="110" t="s">
        <v>120</v>
      </c>
      <c r="C39" s="105"/>
    </row>
    <row r="40" spans="1:3" x14ac:dyDescent="0.35">
      <c r="A40" s="105"/>
      <c r="B40" s="110" t="s">
        <v>143</v>
      </c>
      <c r="C40" s="105"/>
    </row>
    <row r="41" spans="1:3" x14ac:dyDescent="0.35">
      <c r="A41" s="105"/>
      <c r="B41" s="109" t="s">
        <v>121</v>
      </c>
      <c r="C41" s="105"/>
    </row>
    <row r="42" spans="1:3" x14ac:dyDescent="0.35">
      <c r="A42" s="105"/>
      <c r="B42" s="109" t="s">
        <v>122</v>
      </c>
      <c r="C42" s="105"/>
    </row>
    <row r="43" spans="1:3" x14ac:dyDescent="0.35">
      <c r="A43" s="105"/>
      <c r="B43" s="109" t="s">
        <v>106</v>
      </c>
      <c r="C43" s="105"/>
    </row>
    <row r="44" spans="1:3" x14ac:dyDescent="0.35">
      <c r="A44" s="105"/>
      <c r="B44" s="110" t="s">
        <v>123</v>
      </c>
      <c r="C44" s="105"/>
    </row>
    <row r="45" spans="1:3" ht="29.25" customHeight="1" x14ac:dyDescent="0.35">
      <c r="A45" s="105"/>
      <c r="B45" s="112" t="s">
        <v>124</v>
      </c>
      <c r="C45" s="105"/>
    </row>
    <row r="46" spans="1:3" x14ac:dyDescent="0.35">
      <c r="A46" s="105"/>
      <c r="B46" s="109" t="s">
        <v>125</v>
      </c>
      <c r="C46" s="105"/>
    </row>
    <row r="47" spans="1:3" x14ac:dyDescent="0.35">
      <c r="A47" s="105"/>
      <c r="B47" s="109" t="s">
        <v>126</v>
      </c>
      <c r="C47" s="105"/>
    </row>
    <row r="48" spans="1:3" x14ac:dyDescent="0.35">
      <c r="A48" s="105"/>
      <c r="B48" s="109" t="s">
        <v>144</v>
      </c>
      <c r="C48" s="105"/>
    </row>
    <row r="49" spans="1:3" x14ac:dyDescent="0.35">
      <c r="A49" s="105"/>
      <c r="B49" s="105"/>
      <c r="C49" s="105"/>
    </row>
    <row r="50" spans="1:3" x14ac:dyDescent="0.35">
      <c r="A50" s="105"/>
      <c r="B50" s="108" t="s">
        <v>145</v>
      </c>
      <c r="C50" s="105"/>
    </row>
    <row r="51" spans="1:3" x14ac:dyDescent="0.35">
      <c r="A51" s="105"/>
      <c r="B51" s="105"/>
      <c r="C51" s="105"/>
    </row>
    <row r="52" spans="1:3" x14ac:dyDescent="0.35">
      <c r="A52" s="105"/>
      <c r="B52" s="105"/>
      <c r="C52" s="10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F56"/>
  <sheetViews>
    <sheetView topLeftCell="I40" zoomScale="75" zoomScaleNormal="85" workbookViewId="0">
      <selection activeCell="R56" sqref="R56:BE56"/>
    </sheetView>
  </sheetViews>
  <sheetFormatPr baseColWidth="10" defaultColWidth="5.54296875" defaultRowHeight="16.5" customHeight="1" x14ac:dyDescent="0.45"/>
  <cols>
    <col min="1" max="3" width="5.7265625" style="72" customWidth="1"/>
    <col min="4" max="4" width="7.54296875" style="72" customWidth="1"/>
    <col min="5" max="6" width="5.7265625" style="72" customWidth="1"/>
    <col min="7" max="7" width="7.26953125" style="72" customWidth="1"/>
    <col min="8" max="8" width="7.1796875" style="72" customWidth="1"/>
    <col min="9" max="10" width="8.1796875" style="72" customWidth="1"/>
    <col min="11" max="11" width="11.08984375" style="72" customWidth="1"/>
    <col min="12" max="13" width="8.1796875" style="72" customWidth="1"/>
    <col min="14" max="50" width="5.7265625" style="72" customWidth="1"/>
    <col min="51" max="57" width="7.81640625" style="72" customWidth="1"/>
    <col min="58" max="58" width="5.7265625" style="72" customWidth="1"/>
    <col min="59" max="16384" width="5.54296875" style="72"/>
  </cols>
  <sheetData>
    <row r="1" spans="1:58" ht="10.5" customHeight="1" x14ac:dyDescent="0.45">
      <c r="A1" s="35"/>
      <c r="B1" s="35"/>
      <c r="C1" s="35"/>
      <c r="D1" s="35"/>
      <c r="E1" s="35"/>
      <c r="F1" s="35"/>
      <c r="G1" s="35"/>
      <c r="H1" s="35"/>
      <c r="I1" s="35"/>
      <c r="J1" s="35"/>
      <c r="K1" s="35"/>
      <c r="L1" s="35"/>
      <c r="M1" s="35"/>
      <c r="N1" s="35"/>
      <c r="O1" s="35"/>
      <c r="P1" s="35"/>
      <c r="Q1" s="35"/>
      <c r="R1" s="35"/>
      <c r="S1" s="35"/>
      <c r="T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row>
    <row r="2" spans="1:58" ht="30" customHeight="1" x14ac:dyDescent="0.45">
      <c r="A2" s="34"/>
      <c r="B2" s="158" t="s">
        <v>91</v>
      </c>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Q2" s="158"/>
      <c r="AR2" s="158"/>
      <c r="AS2" s="158"/>
      <c r="AT2" s="158"/>
      <c r="AU2" s="158"/>
      <c r="AV2" s="158"/>
      <c r="AW2" s="158"/>
      <c r="AX2" s="158"/>
      <c r="AY2" s="158"/>
      <c r="AZ2" s="158"/>
      <c r="BA2" s="158"/>
      <c r="BB2" s="158"/>
      <c r="BC2" s="158"/>
      <c r="BD2" s="158"/>
      <c r="BE2" s="158"/>
      <c r="BF2" s="159"/>
    </row>
    <row r="3" spans="1:58" ht="30" customHeight="1" x14ac:dyDescent="0.45">
      <c r="A3" s="36"/>
      <c r="B3" s="74"/>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37"/>
    </row>
    <row r="4" spans="1:58" ht="30" customHeight="1" x14ac:dyDescent="0.45">
      <c r="A4" s="36"/>
      <c r="B4" s="39"/>
      <c r="C4" s="39"/>
      <c r="D4" s="39"/>
      <c r="E4" s="39"/>
      <c r="F4" s="39"/>
      <c r="G4" s="39"/>
      <c r="H4" s="39"/>
      <c r="I4" s="39"/>
      <c r="J4" s="39"/>
      <c r="K4" s="39"/>
      <c r="L4" s="39"/>
      <c r="M4" s="39"/>
      <c r="N4" s="39"/>
      <c r="O4" s="39"/>
      <c r="P4" s="39"/>
      <c r="Q4" s="39"/>
      <c r="R4" s="39"/>
      <c r="S4" s="39"/>
      <c r="T4" s="39"/>
      <c r="U4" s="40"/>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7"/>
    </row>
    <row r="5" spans="1:58" ht="30" customHeight="1" x14ac:dyDescent="0.45">
      <c r="A5" s="36"/>
      <c r="B5" s="41"/>
      <c r="C5" s="38"/>
      <c r="D5" s="38"/>
      <c r="E5" s="38"/>
      <c r="F5" s="47" t="s">
        <v>92</v>
      </c>
      <c r="G5" s="42"/>
      <c r="H5" s="47"/>
      <c r="I5" s="47"/>
      <c r="J5" s="47"/>
      <c r="K5" s="47"/>
      <c r="L5" s="47"/>
      <c r="M5" s="47"/>
      <c r="N5" s="114"/>
      <c r="O5" s="38"/>
      <c r="P5" s="43"/>
      <c r="Q5" s="41"/>
      <c r="R5" s="39"/>
      <c r="S5" s="38"/>
      <c r="T5" s="38"/>
      <c r="U5" s="39"/>
      <c r="V5" s="38"/>
      <c r="W5" s="38"/>
      <c r="X5" s="38"/>
      <c r="Y5" s="47" t="s">
        <v>93</v>
      </c>
      <c r="Z5" s="42"/>
      <c r="AA5" s="38"/>
      <c r="AB5" s="38"/>
      <c r="AC5" s="38"/>
      <c r="AD5" s="44"/>
      <c r="AE5" s="38"/>
      <c r="AF5" s="43" t="s">
        <v>94</v>
      </c>
      <c r="AG5" s="41"/>
      <c r="AH5" s="41"/>
      <c r="AI5" s="41"/>
      <c r="AJ5" s="41"/>
      <c r="AK5" s="38"/>
      <c r="AL5" s="41"/>
      <c r="AM5" s="44"/>
      <c r="AN5" s="38"/>
      <c r="AO5" s="38"/>
      <c r="AP5" s="38"/>
      <c r="AQ5" s="38"/>
      <c r="AR5" s="38"/>
      <c r="AS5" s="44"/>
      <c r="AT5" s="44"/>
      <c r="AU5" s="44"/>
      <c r="AV5" s="45" t="s">
        <v>82</v>
      </c>
      <c r="AW5" s="45"/>
      <c r="AX5" s="45"/>
      <c r="AY5" s="45"/>
      <c r="AZ5" s="45"/>
      <c r="BA5" s="45"/>
      <c r="BB5" s="38"/>
      <c r="BC5" s="38"/>
      <c r="BD5" s="38"/>
      <c r="BE5" s="38"/>
      <c r="BF5" s="37"/>
    </row>
    <row r="6" spans="1:58" ht="24.75" customHeight="1" x14ac:dyDescent="0.45">
      <c r="A6" s="36"/>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41" t="s">
        <v>56</v>
      </c>
      <c r="AW6" s="41"/>
      <c r="AX6" s="39"/>
      <c r="AY6" s="39"/>
      <c r="AZ6" s="46"/>
      <c r="BA6" s="46"/>
      <c r="BB6" s="38"/>
      <c r="BC6" s="38"/>
      <c r="BD6" s="38"/>
      <c r="BE6" s="38"/>
      <c r="BF6" s="37"/>
    </row>
    <row r="7" spans="1:58" ht="24.75" customHeight="1" x14ac:dyDescent="0.45">
      <c r="A7" s="36"/>
      <c r="B7" s="41" t="s">
        <v>55</v>
      </c>
      <c r="C7" s="41"/>
      <c r="D7" s="41"/>
      <c r="E7" s="41"/>
      <c r="F7" s="41"/>
      <c r="G7" s="41"/>
      <c r="H7" s="41"/>
      <c r="I7" s="41"/>
      <c r="J7" s="41"/>
      <c r="K7" s="41"/>
      <c r="L7" s="41"/>
      <c r="M7" s="41"/>
      <c r="N7" s="41"/>
      <c r="O7" s="41" t="s">
        <v>73</v>
      </c>
      <c r="P7" s="38"/>
      <c r="Q7" s="41"/>
      <c r="R7" s="41"/>
      <c r="S7" s="41"/>
      <c r="T7" s="41"/>
      <c r="U7" s="41"/>
      <c r="V7" s="38"/>
      <c r="W7" s="38"/>
      <c r="X7" s="38"/>
      <c r="Y7" s="41"/>
      <c r="Z7" s="41"/>
      <c r="AA7" s="41"/>
      <c r="AB7" s="41" t="s">
        <v>54</v>
      </c>
      <c r="AC7" s="41"/>
      <c r="AD7" s="41"/>
      <c r="AE7" s="38"/>
      <c r="AF7" s="41"/>
      <c r="AG7" s="41"/>
      <c r="AH7" s="38"/>
      <c r="AI7" s="41"/>
      <c r="AJ7" s="41"/>
      <c r="AK7" s="41"/>
      <c r="AL7" s="38"/>
      <c r="AM7" s="41" t="s">
        <v>60</v>
      </c>
      <c r="AN7" s="38"/>
      <c r="AO7" s="38"/>
      <c r="AP7" s="38"/>
      <c r="AQ7" s="38"/>
      <c r="AR7" s="41"/>
      <c r="AS7" s="41"/>
      <c r="AT7" s="38"/>
      <c r="AU7" s="38"/>
      <c r="AV7" s="41" t="s">
        <v>53</v>
      </c>
      <c r="AW7" s="41"/>
      <c r="AX7" s="47"/>
      <c r="AY7" s="41"/>
      <c r="AZ7" s="46"/>
      <c r="BA7" s="46"/>
      <c r="BB7" s="38"/>
      <c r="BC7" s="38"/>
      <c r="BD7" s="38"/>
      <c r="BE7" s="38"/>
      <c r="BF7" s="37"/>
    </row>
    <row r="8" spans="1:58" ht="24.75" customHeight="1" x14ac:dyDescent="0.45">
      <c r="A8" s="36"/>
      <c r="B8" s="41" t="s">
        <v>52</v>
      </c>
      <c r="C8" s="41"/>
      <c r="D8" s="41"/>
      <c r="E8" s="41"/>
      <c r="F8" s="41"/>
      <c r="G8" s="41"/>
      <c r="H8" s="41"/>
      <c r="I8" s="41"/>
      <c r="J8" s="41"/>
      <c r="K8" s="41"/>
      <c r="L8" s="41"/>
      <c r="M8" s="41"/>
      <c r="N8" s="41"/>
      <c r="O8" s="41"/>
      <c r="P8" s="38"/>
      <c r="Q8" s="41"/>
      <c r="R8" s="41"/>
      <c r="S8" s="41"/>
      <c r="T8" s="41"/>
      <c r="U8" s="41"/>
      <c r="V8" s="38"/>
      <c r="W8" s="38"/>
      <c r="X8" s="38"/>
      <c r="Y8" s="41"/>
      <c r="Z8" s="41"/>
      <c r="AA8" s="41"/>
      <c r="AB8" s="41" t="s">
        <v>51</v>
      </c>
      <c r="AC8" s="41"/>
      <c r="AD8" s="41"/>
      <c r="AE8" s="38"/>
      <c r="AF8" s="41"/>
      <c r="AG8" s="41"/>
      <c r="AH8" s="38"/>
      <c r="AI8" s="41"/>
      <c r="AJ8" s="41"/>
      <c r="AK8" s="41"/>
      <c r="AL8" s="44"/>
      <c r="AM8" s="41" t="s">
        <v>50</v>
      </c>
      <c r="AN8" s="41"/>
      <c r="AO8" s="41"/>
      <c r="AP8" s="41"/>
      <c r="AQ8" s="41"/>
      <c r="AR8" s="41"/>
      <c r="AS8" s="41"/>
      <c r="AT8" s="38"/>
      <c r="AU8" s="38"/>
      <c r="AV8" s="41" t="s">
        <v>49</v>
      </c>
      <c r="AW8" s="41"/>
      <c r="AX8" s="47"/>
      <c r="AY8" s="41"/>
      <c r="AZ8" s="48"/>
      <c r="BA8" s="46"/>
      <c r="BB8" s="38"/>
      <c r="BC8" s="38"/>
      <c r="BD8" s="38"/>
      <c r="BE8" s="38"/>
      <c r="BF8" s="37"/>
    </row>
    <row r="9" spans="1:58" ht="24.75" customHeight="1" x14ac:dyDescent="0.45">
      <c r="A9" s="36"/>
      <c r="B9" s="41" t="s">
        <v>48</v>
      </c>
      <c r="C9" s="41"/>
      <c r="D9" s="41"/>
      <c r="E9" s="41"/>
      <c r="F9" s="41"/>
      <c r="G9" s="41"/>
      <c r="H9" s="41"/>
      <c r="I9" s="41"/>
      <c r="J9" s="41"/>
      <c r="K9" s="41"/>
      <c r="L9" s="41"/>
      <c r="M9" s="41"/>
      <c r="N9" s="41"/>
      <c r="O9" s="41"/>
      <c r="P9" s="41"/>
      <c r="Q9" s="41"/>
      <c r="R9" s="41"/>
      <c r="S9" s="41"/>
      <c r="T9" s="41"/>
      <c r="U9" s="41"/>
      <c r="V9" s="38"/>
      <c r="W9" s="38"/>
      <c r="X9" s="38"/>
      <c r="Y9" s="38"/>
      <c r="Z9" s="38"/>
      <c r="AA9" s="38"/>
      <c r="AB9" s="41" t="s">
        <v>47</v>
      </c>
      <c r="AC9" s="41"/>
      <c r="AD9" s="38"/>
      <c r="AE9" s="41"/>
      <c r="AF9" s="38"/>
      <c r="AG9" s="38"/>
      <c r="AH9" s="44"/>
      <c r="AI9" s="44"/>
      <c r="AJ9" s="44"/>
      <c r="AK9" s="44"/>
      <c r="AL9" s="44"/>
      <c r="AN9" s="44"/>
      <c r="AO9" s="47" t="s">
        <v>135</v>
      </c>
      <c r="AP9" s="41" t="s">
        <v>136</v>
      </c>
      <c r="AQ9" s="41"/>
      <c r="AR9" s="41"/>
      <c r="AS9" s="41"/>
      <c r="AT9" s="41"/>
      <c r="AU9" s="41"/>
      <c r="AV9" s="41" t="s">
        <v>46</v>
      </c>
      <c r="AW9" s="38"/>
      <c r="AX9" s="41"/>
      <c r="AY9" s="41"/>
      <c r="AZ9" s="46"/>
      <c r="BA9" s="46"/>
      <c r="BB9" s="38"/>
      <c r="BC9" s="38"/>
      <c r="BD9" s="38"/>
      <c r="BE9" s="38"/>
      <c r="BF9" s="37"/>
    </row>
    <row r="10" spans="1:58" ht="13.5" customHeight="1" x14ac:dyDescent="0.45">
      <c r="A10" s="49"/>
      <c r="B10" s="50"/>
      <c r="C10" s="51"/>
      <c r="D10" s="51"/>
      <c r="E10" s="51"/>
      <c r="F10" s="51"/>
      <c r="G10" s="51"/>
      <c r="H10" s="51"/>
      <c r="I10" s="51"/>
      <c r="J10" s="51"/>
      <c r="K10" s="51"/>
      <c r="L10" s="51"/>
      <c r="M10" s="51"/>
      <c r="N10" s="51"/>
      <c r="O10" s="51"/>
      <c r="P10" s="51"/>
      <c r="Q10" s="51"/>
      <c r="R10" s="51"/>
      <c r="S10" s="51"/>
      <c r="T10" s="51"/>
      <c r="U10" s="51"/>
      <c r="V10" s="51"/>
      <c r="W10" s="51"/>
      <c r="X10" s="38"/>
      <c r="Y10" s="38"/>
      <c r="Z10" s="38"/>
      <c r="AA10" s="38"/>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1"/>
      <c r="AZ10" s="44"/>
      <c r="BA10" s="52"/>
      <c r="BB10" s="52"/>
      <c r="BC10" s="52"/>
      <c r="BD10" s="52"/>
      <c r="BE10" s="52"/>
      <c r="BF10" s="37"/>
    </row>
    <row r="11" spans="1:58" ht="13.5" customHeight="1" thickBot="1" x14ac:dyDescent="0.5">
      <c r="A11" s="49"/>
      <c r="B11" s="167"/>
      <c r="C11" s="168"/>
      <c r="D11" s="168"/>
      <c r="E11" s="168"/>
      <c r="F11" s="168"/>
      <c r="G11" s="168"/>
      <c r="H11" s="168"/>
      <c r="I11" s="168"/>
      <c r="J11" s="168"/>
      <c r="K11" s="168"/>
      <c r="L11" s="168"/>
      <c r="M11" s="168"/>
      <c r="N11" s="169"/>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17"/>
      <c r="BD11" s="117"/>
      <c r="BE11" s="117"/>
      <c r="BF11" s="37"/>
    </row>
    <row r="12" spans="1:58" s="96" customFormat="1" ht="30" customHeight="1" x14ac:dyDescent="0.45">
      <c r="A12" s="53"/>
      <c r="B12" s="170" t="s">
        <v>45</v>
      </c>
      <c r="C12" s="179" t="s">
        <v>44</v>
      </c>
      <c r="D12" s="180"/>
      <c r="E12" s="180"/>
      <c r="F12" s="181"/>
      <c r="G12" s="179" t="s">
        <v>147</v>
      </c>
      <c r="H12" s="180"/>
      <c r="I12" s="181"/>
      <c r="J12" s="179" t="s">
        <v>151</v>
      </c>
      <c r="K12" s="180"/>
      <c r="L12" s="180"/>
      <c r="M12" s="181"/>
      <c r="N12" s="163" t="s">
        <v>83</v>
      </c>
      <c r="O12" s="163"/>
      <c r="P12" s="163"/>
      <c r="Q12" s="163"/>
      <c r="R12" s="163"/>
      <c r="S12" s="163"/>
      <c r="T12" s="163"/>
      <c r="U12" s="163"/>
      <c r="V12" s="163"/>
      <c r="W12" s="164"/>
      <c r="X12" s="185" t="s">
        <v>62</v>
      </c>
      <c r="Y12" s="186"/>
      <c r="Z12" s="186"/>
      <c r="AA12" s="186"/>
      <c r="AB12" s="186"/>
      <c r="AC12" s="186"/>
      <c r="AD12" s="186"/>
      <c r="AE12" s="186"/>
      <c r="AF12" s="186"/>
      <c r="AG12" s="187"/>
      <c r="AH12" s="191" t="s">
        <v>61</v>
      </c>
      <c r="AI12" s="192"/>
      <c r="AJ12" s="192"/>
      <c r="AK12" s="192"/>
      <c r="AL12" s="192"/>
      <c r="AM12" s="192"/>
      <c r="AN12" s="192"/>
      <c r="AO12" s="192"/>
      <c r="AP12" s="193"/>
      <c r="AQ12" s="197" t="s">
        <v>64</v>
      </c>
      <c r="AR12" s="198"/>
      <c r="AS12" s="198"/>
      <c r="AT12" s="198"/>
      <c r="AU12" s="198"/>
      <c r="AV12" s="198"/>
      <c r="AW12" s="198"/>
      <c r="AX12" s="199"/>
      <c r="AY12" s="154" t="s">
        <v>74</v>
      </c>
      <c r="AZ12" s="155"/>
      <c r="BA12" s="155"/>
      <c r="BB12" s="155"/>
      <c r="BC12" s="176" t="s">
        <v>156</v>
      </c>
      <c r="BD12" s="176"/>
      <c r="BE12" s="176"/>
      <c r="BF12" s="92"/>
    </row>
    <row r="13" spans="1:58" s="96" customFormat="1" ht="30" customHeight="1" thickBot="1" x14ac:dyDescent="0.5">
      <c r="A13" s="53"/>
      <c r="B13" s="171"/>
      <c r="C13" s="182"/>
      <c r="D13" s="183"/>
      <c r="E13" s="183"/>
      <c r="F13" s="184"/>
      <c r="G13" s="203"/>
      <c r="H13" s="204"/>
      <c r="I13" s="205"/>
      <c r="J13" s="203"/>
      <c r="K13" s="204"/>
      <c r="L13" s="204"/>
      <c r="M13" s="205"/>
      <c r="N13" s="165"/>
      <c r="O13" s="165"/>
      <c r="P13" s="165"/>
      <c r="Q13" s="165"/>
      <c r="R13" s="165"/>
      <c r="S13" s="165"/>
      <c r="T13" s="165"/>
      <c r="U13" s="165"/>
      <c r="V13" s="165"/>
      <c r="W13" s="166"/>
      <c r="X13" s="188"/>
      <c r="Y13" s="189"/>
      <c r="Z13" s="189"/>
      <c r="AA13" s="189"/>
      <c r="AB13" s="189"/>
      <c r="AC13" s="189"/>
      <c r="AD13" s="189"/>
      <c r="AE13" s="189"/>
      <c r="AF13" s="189"/>
      <c r="AG13" s="190"/>
      <c r="AH13" s="194"/>
      <c r="AI13" s="195"/>
      <c r="AJ13" s="195"/>
      <c r="AK13" s="195"/>
      <c r="AL13" s="195"/>
      <c r="AM13" s="195"/>
      <c r="AN13" s="195"/>
      <c r="AO13" s="195"/>
      <c r="AP13" s="196"/>
      <c r="AQ13" s="200"/>
      <c r="AR13" s="201"/>
      <c r="AS13" s="201"/>
      <c r="AT13" s="201"/>
      <c r="AU13" s="201"/>
      <c r="AV13" s="201"/>
      <c r="AW13" s="201"/>
      <c r="AX13" s="202"/>
      <c r="AY13" s="156"/>
      <c r="AZ13" s="157"/>
      <c r="BA13" s="157"/>
      <c r="BB13" s="157"/>
      <c r="BC13" s="176"/>
      <c r="BD13" s="176"/>
      <c r="BE13" s="176"/>
      <c r="BF13" s="92"/>
    </row>
    <row r="14" spans="1:58" s="96" customFormat="1" ht="103.5" customHeight="1" x14ac:dyDescent="0.45">
      <c r="A14" s="53"/>
      <c r="B14" s="172"/>
      <c r="C14" s="101" t="s">
        <v>8</v>
      </c>
      <c r="D14" s="102" t="s">
        <v>9</v>
      </c>
      <c r="E14" s="102" t="s">
        <v>10</v>
      </c>
      <c r="F14" s="103" t="s">
        <v>11</v>
      </c>
      <c r="G14" s="113" t="s">
        <v>148</v>
      </c>
      <c r="H14" s="113" t="s">
        <v>149</v>
      </c>
      <c r="I14" s="113" t="s">
        <v>150</v>
      </c>
      <c r="J14" s="113" t="s">
        <v>152</v>
      </c>
      <c r="K14" s="113" t="s">
        <v>153</v>
      </c>
      <c r="L14" s="113" t="s">
        <v>154</v>
      </c>
      <c r="M14" s="113" t="s">
        <v>155</v>
      </c>
      <c r="N14" s="81" t="s">
        <v>43</v>
      </c>
      <c r="O14" s="54" t="s">
        <v>14</v>
      </c>
      <c r="P14" s="75" t="s">
        <v>15</v>
      </c>
      <c r="Q14" s="75" t="s">
        <v>63</v>
      </c>
      <c r="R14" s="75" t="s">
        <v>41</v>
      </c>
      <c r="S14" s="75" t="s">
        <v>40</v>
      </c>
      <c r="T14" s="75" t="s">
        <v>18</v>
      </c>
      <c r="U14" s="55" t="s">
        <v>68</v>
      </c>
      <c r="V14" s="75" t="s">
        <v>19</v>
      </c>
      <c r="W14" s="76" t="s">
        <v>21</v>
      </c>
      <c r="X14" s="77" t="s">
        <v>43</v>
      </c>
      <c r="Y14" s="54" t="s">
        <v>14</v>
      </c>
      <c r="Z14" s="75" t="s">
        <v>15</v>
      </c>
      <c r="AA14" s="75" t="s">
        <v>63</v>
      </c>
      <c r="AB14" s="75" t="s">
        <v>41</v>
      </c>
      <c r="AC14" s="75" t="s">
        <v>40</v>
      </c>
      <c r="AD14" s="75" t="s">
        <v>18</v>
      </c>
      <c r="AE14" s="54" t="s">
        <v>68</v>
      </c>
      <c r="AF14" s="75" t="s">
        <v>19</v>
      </c>
      <c r="AG14" s="78" t="s">
        <v>21</v>
      </c>
      <c r="AH14" s="77" t="s">
        <v>43</v>
      </c>
      <c r="AI14" s="54" t="s">
        <v>14</v>
      </c>
      <c r="AJ14" s="75" t="s">
        <v>15</v>
      </c>
      <c r="AK14" s="75" t="s">
        <v>42</v>
      </c>
      <c r="AL14" s="75" t="s">
        <v>41</v>
      </c>
      <c r="AM14" s="75" t="s">
        <v>40</v>
      </c>
      <c r="AN14" s="75" t="s">
        <v>18</v>
      </c>
      <c r="AO14" s="75" t="s">
        <v>19</v>
      </c>
      <c r="AP14" s="78" t="s">
        <v>21</v>
      </c>
      <c r="AQ14" s="77" t="s">
        <v>43</v>
      </c>
      <c r="AR14" s="54" t="s">
        <v>14</v>
      </c>
      <c r="AS14" s="75" t="s">
        <v>15</v>
      </c>
      <c r="AT14" s="75" t="s">
        <v>42</v>
      </c>
      <c r="AU14" s="75" t="s">
        <v>41</v>
      </c>
      <c r="AV14" s="75" t="s">
        <v>40</v>
      </c>
      <c r="AW14" s="75" t="s">
        <v>18</v>
      </c>
      <c r="AX14" s="78" t="s">
        <v>21</v>
      </c>
      <c r="AY14" s="79" t="s">
        <v>26</v>
      </c>
      <c r="AZ14" s="80" t="s">
        <v>11</v>
      </c>
      <c r="BA14" s="80" t="s">
        <v>39</v>
      </c>
      <c r="BB14" s="115" t="s">
        <v>38</v>
      </c>
      <c r="BC14" s="121" t="s">
        <v>157</v>
      </c>
      <c r="BD14" s="121" t="s">
        <v>158</v>
      </c>
      <c r="BE14" s="121" t="s">
        <v>159</v>
      </c>
      <c r="BF14" s="92"/>
    </row>
    <row r="15" spans="1:58" ht="30" customHeight="1" x14ac:dyDescent="0.45">
      <c r="A15" s="49"/>
      <c r="B15" s="56">
        <v>1</v>
      </c>
      <c r="C15" s="85"/>
      <c r="D15" s="57"/>
      <c r="E15" s="57"/>
      <c r="F15" s="116"/>
      <c r="G15" s="57"/>
      <c r="H15" s="57"/>
      <c r="I15" s="57"/>
      <c r="J15" s="57"/>
      <c r="K15" s="57"/>
      <c r="L15" s="57"/>
      <c r="M15" s="57"/>
      <c r="N15" s="63"/>
      <c r="O15" s="57"/>
      <c r="P15" s="57"/>
      <c r="Q15" s="57"/>
      <c r="R15" s="57"/>
      <c r="S15" s="57"/>
      <c r="T15" s="57"/>
      <c r="U15" s="58"/>
      <c r="V15" s="57"/>
      <c r="W15" s="97"/>
      <c r="X15" s="59"/>
      <c r="Y15" s="57"/>
      <c r="Z15" s="57"/>
      <c r="AA15" s="58"/>
      <c r="AB15" s="60"/>
      <c r="AC15" s="60"/>
      <c r="AD15" s="60"/>
      <c r="AE15" s="60"/>
      <c r="AF15" s="60"/>
      <c r="AG15" s="99"/>
      <c r="AH15" s="61"/>
      <c r="AI15" s="60"/>
      <c r="AJ15" s="60"/>
      <c r="AK15" s="60"/>
      <c r="AL15" s="60"/>
      <c r="AM15" s="60"/>
      <c r="AN15" s="60"/>
      <c r="AO15" s="60"/>
      <c r="AP15" s="99"/>
      <c r="AQ15" s="61"/>
      <c r="AR15" s="60"/>
      <c r="AS15" s="60"/>
      <c r="AT15" s="60"/>
      <c r="AU15" s="60"/>
      <c r="AV15" s="60"/>
      <c r="AW15" s="60"/>
      <c r="AX15" s="99"/>
      <c r="AY15" s="61"/>
      <c r="AZ15" s="62"/>
      <c r="BA15" s="60"/>
      <c r="BB15" s="62"/>
      <c r="BC15" s="60"/>
      <c r="BD15" s="60"/>
      <c r="BE15" s="60"/>
      <c r="BF15" s="37"/>
    </row>
    <row r="16" spans="1:58" ht="30" customHeight="1" x14ac:dyDescent="0.45">
      <c r="A16" s="49"/>
      <c r="B16" s="56">
        <v>2</v>
      </c>
      <c r="C16" s="85"/>
      <c r="D16" s="57"/>
      <c r="E16" s="57"/>
      <c r="F16" s="116"/>
      <c r="G16" s="57"/>
      <c r="H16" s="57"/>
      <c r="I16" s="57"/>
      <c r="J16" s="57"/>
      <c r="K16" s="57"/>
      <c r="L16" s="57"/>
      <c r="M16" s="57"/>
      <c r="N16" s="63"/>
      <c r="O16" s="57"/>
      <c r="P16" s="57"/>
      <c r="Q16" s="57"/>
      <c r="R16" s="57"/>
      <c r="S16" s="57"/>
      <c r="T16" s="57"/>
      <c r="U16" s="58"/>
      <c r="V16" s="57"/>
      <c r="W16" s="97"/>
      <c r="X16" s="59"/>
      <c r="Y16" s="57"/>
      <c r="Z16" s="57"/>
      <c r="AA16" s="57"/>
      <c r="AB16" s="60"/>
      <c r="AC16" s="60"/>
      <c r="AD16" s="60"/>
      <c r="AE16" s="60"/>
      <c r="AF16" s="60"/>
      <c r="AG16" s="99"/>
      <c r="AH16" s="61"/>
      <c r="AI16" s="60"/>
      <c r="AJ16" s="60"/>
      <c r="AK16" s="60"/>
      <c r="AL16" s="60"/>
      <c r="AM16" s="60"/>
      <c r="AN16" s="60"/>
      <c r="AO16" s="60"/>
      <c r="AP16" s="99"/>
      <c r="AQ16" s="61"/>
      <c r="AR16" s="60"/>
      <c r="AS16" s="60"/>
      <c r="AT16" s="60"/>
      <c r="AU16" s="60"/>
      <c r="AV16" s="60"/>
      <c r="AW16" s="60"/>
      <c r="AX16" s="99"/>
      <c r="AY16" s="61"/>
      <c r="AZ16" s="62"/>
      <c r="BA16" s="60"/>
      <c r="BB16" s="62"/>
      <c r="BC16" s="60"/>
      <c r="BD16" s="60"/>
      <c r="BE16" s="60"/>
      <c r="BF16" s="37"/>
    </row>
    <row r="17" spans="1:58" ht="30" customHeight="1" x14ac:dyDescent="0.45">
      <c r="A17" s="49"/>
      <c r="B17" s="56">
        <v>3</v>
      </c>
      <c r="C17" s="85"/>
      <c r="D17" s="57"/>
      <c r="E17" s="57"/>
      <c r="F17" s="116"/>
      <c r="G17" s="57"/>
      <c r="H17" s="57"/>
      <c r="I17" s="57"/>
      <c r="J17" s="57"/>
      <c r="K17" s="57"/>
      <c r="L17" s="57"/>
      <c r="M17" s="57"/>
      <c r="N17" s="63"/>
      <c r="O17" s="57"/>
      <c r="P17" s="57"/>
      <c r="Q17" s="57"/>
      <c r="R17" s="57"/>
      <c r="S17" s="57"/>
      <c r="T17" s="57"/>
      <c r="U17" s="58"/>
      <c r="V17" s="57"/>
      <c r="W17" s="97"/>
      <c r="X17" s="59"/>
      <c r="Y17" s="57"/>
      <c r="Z17" s="57"/>
      <c r="AA17" s="57"/>
      <c r="AB17" s="60"/>
      <c r="AC17" s="60"/>
      <c r="AD17" s="60"/>
      <c r="AE17" s="60"/>
      <c r="AF17" s="60"/>
      <c r="AG17" s="99"/>
      <c r="AH17" s="61"/>
      <c r="AI17" s="60"/>
      <c r="AJ17" s="60"/>
      <c r="AK17" s="60"/>
      <c r="AL17" s="60"/>
      <c r="AM17" s="60"/>
      <c r="AN17" s="60"/>
      <c r="AO17" s="60"/>
      <c r="AP17" s="99"/>
      <c r="AQ17" s="61"/>
      <c r="AR17" s="60"/>
      <c r="AS17" s="60"/>
      <c r="AT17" s="60"/>
      <c r="AU17" s="60"/>
      <c r="AV17" s="60"/>
      <c r="AW17" s="60"/>
      <c r="AX17" s="99"/>
      <c r="AY17" s="61"/>
      <c r="AZ17" s="62"/>
      <c r="BA17" s="60"/>
      <c r="BB17" s="62"/>
      <c r="BC17" s="60"/>
      <c r="BD17" s="60"/>
      <c r="BE17" s="60"/>
      <c r="BF17" s="37"/>
    </row>
    <row r="18" spans="1:58" ht="30" customHeight="1" x14ac:dyDescent="0.45">
      <c r="A18" s="49"/>
      <c r="B18" s="56">
        <v>4</v>
      </c>
      <c r="C18" s="85"/>
      <c r="D18" s="57"/>
      <c r="E18" s="57"/>
      <c r="F18" s="116"/>
      <c r="G18" s="57"/>
      <c r="H18" s="57"/>
      <c r="I18" s="57"/>
      <c r="J18" s="57"/>
      <c r="K18" s="57"/>
      <c r="L18" s="57"/>
      <c r="M18" s="57"/>
      <c r="N18" s="63"/>
      <c r="O18" s="57"/>
      <c r="P18" s="57"/>
      <c r="Q18" s="57"/>
      <c r="R18" s="57"/>
      <c r="S18" s="57"/>
      <c r="T18" s="57"/>
      <c r="U18" s="58"/>
      <c r="V18" s="57"/>
      <c r="W18" s="97"/>
      <c r="X18" s="59"/>
      <c r="Y18" s="57"/>
      <c r="Z18" s="57"/>
      <c r="AA18" s="57"/>
      <c r="AB18" s="60"/>
      <c r="AC18" s="60"/>
      <c r="AD18" s="60"/>
      <c r="AE18" s="60"/>
      <c r="AF18" s="60"/>
      <c r="AG18" s="99"/>
      <c r="AH18" s="61"/>
      <c r="AI18" s="60"/>
      <c r="AJ18" s="60"/>
      <c r="AK18" s="60"/>
      <c r="AL18" s="60"/>
      <c r="AM18" s="60"/>
      <c r="AN18" s="60"/>
      <c r="AO18" s="60"/>
      <c r="AP18" s="99"/>
      <c r="AQ18" s="61"/>
      <c r="AR18" s="60"/>
      <c r="AS18" s="60"/>
      <c r="AT18" s="60"/>
      <c r="AU18" s="60"/>
      <c r="AV18" s="60"/>
      <c r="AW18" s="60"/>
      <c r="AX18" s="99"/>
      <c r="AY18" s="61"/>
      <c r="AZ18" s="62"/>
      <c r="BA18" s="60"/>
      <c r="BB18" s="62"/>
      <c r="BC18" s="60"/>
      <c r="BD18" s="60"/>
      <c r="BE18" s="60"/>
      <c r="BF18" s="37"/>
    </row>
    <row r="19" spans="1:58" ht="30" customHeight="1" x14ac:dyDescent="0.45">
      <c r="A19" s="49"/>
      <c r="B19" s="56">
        <v>5</v>
      </c>
      <c r="C19" s="85"/>
      <c r="D19" s="57"/>
      <c r="E19" s="57"/>
      <c r="F19" s="116"/>
      <c r="G19" s="57"/>
      <c r="H19" s="57"/>
      <c r="I19" s="57"/>
      <c r="J19" s="57"/>
      <c r="K19" s="57"/>
      <c r="L19" s="57"/>
      <c r="M19" s="57"/>
      <c r="N19" s="63"/>
      <c r="O19" s="57"/>
      <c r="P19" s="57"/>
      <c r="Q19" s="57"/>
      <c r="R19" s="57"/>
      <c r="S19" s="57"/>
      <c r="T19" s="57"/>
      <c r="U19" s="58"/>
      <c r="V19" s="57"/>
      <c r="W19" s="97"/>
      <c r="X19" s="59"/>
      <c r="Y19" s="57"/>
      <c r="Z19" s="57"/>
      <c r="AA19" s="57"/>
      <c r="AB19" s="60"/>
      <c r="AC19" s="60"/>
      <c r="AD19" s="60"/>
      <c r="AE19" s="60"/>
      <c r="AF19" s="60"/>
      <c r="AG19" s="99"/>
      <c r="AH19" s="61"/>
      <c r="AI19" s="60"/>
      <c r="AJ19" s="60"/>
      <c r="AK19" s="60"/>
      <c r="AL19" s="60"/>
      <c r="AM19" s="60"/>
      <c r="AN19" s="60"/>
      <c r="AO19" s="60"/>
      <c r="AP19" s="99"/>
      <c r="AQ19" s="61"/>
      <c r="AR19" s="60"/>
      <c r="AS19" s="60"/>
      <c r="AT19" s="60"/>
      <c r="AU19" s="60"/>
      <c r="AV19" s="60"/>
      <c r="AW19" s="60"/>
      <c r="AX19" s="99"/>
      <c r="AY19" s="61"/>
      <c r="AZ19" s="62"/>
      <c r="BA19" s="60"/>
      <c r="BB19" s="62"/>
      <c r="BC19" s="60"/>
      <c r="BD19" s="60"/>
      <c r="BE19" s="60"/>
      <c r="BF19" s="37"/>
    </row>
    <row r="20" spans="1:58" ht="30" customHeight="1" x14ac:dyDescent="0.45">
      <c r="A20" s="49"/>
      <c r="B20" s="56">
        <v>6</v>
      </c>
      <c r="C20" s="85"/>
      <c r="D20" s="57"/>
      <c r="E20" s="57"/>
      <c r="F20" s="116"/>
      <c r="G20" s="57"/>
      <c r="H20" s="57"/>
      <c r="I20" s="57"/>
      <c r="J20" s="57"/>
      <c r="K20" s="57"/>
      <c r="L20" s="57"/>
      <c r="M20" s="57"/>
      <c r="N20" s="63"/>
      <c r="O20" s="57"/>
      <c r="P20" s="57"/>
      <c r="Q20" s="57"/>
      <c r="R20" s="57"/>
      <c r="S20" s="57"/>
      <c r="T20" s="57"/>
      <c r="U20" s="58"/>
      <c r="V20" s="57"/>
      <c r="W20" s="97"/>
      <c r="X20" s="59"/>
      <c r="Y20" s="57"/>
      <c r="Z20" s="57"/>
      <c r="AA20" s="57"/>
      <c r="AB20" s="60"/>
      <c r="AC20" s="60"/>
      <c r="AD20" s="60"/>
      <c r="AE20" s="60"/>
      <c r="AF20" s="60"/>
      <c r="AG20" s="99"/>
      <c r="AH20" s="61"/>
      <c r="AI20" s="60"/>
      <c r="AJ20" s="60"/>
      <c r="AK20" s="60"/>
      <c r="AL20" s="60"/>
      <c r="AM20" s="60"/>
      <c r="AN20" s="60"/>
      <c r="AO20" s="60"/>
      <c r="AP20" s="99"/>
      <c r="AQ20" s="61"/>
      <c r="AR20" s="60"/>
      <c r="AS20" s="60"/>
      <c r="AT20" s="60"/>
      <c r="AU20" s="60"/>
      <c r="AV20" s="60"/>
      <c r="AW20" s="60"/>
      <c r="AX20" s="99"/>
      <c r="AY20" s="61"/>
      <c r="AZ20" s="62"/>
      <c r="BA20" s="60"/>
      <c r="BB20" s="62"/>
      <c r="BC20" s="60"/>
      <c r="BD20" s="60"/>
      <c r="BE20" s="60"/>
      <c r="BF20" s="37"/>
    </row>
    <row r="21" spans="1:58" ht="30" customHeight="1" x14ac:dyDescent="0.45">
      <c r="A21" s="49"/>
      <c r="B21" s="56">
        <v>7</v>
      </c>
      <c r="C21" s="85"/>
      <c r="D21" s="57"/>
      <c r="E21" s="57"/>
      <c r="F21" s="116"/>
      <c r="G21" s="57"/>
      <c r="H21" s="57"/>
      <c r="I21" s="57"/>
      <c r="J21" s="57"/>
      <c r="K21" s="57"/>
      <c r="L21" s="57"/>
      <c r="M21" s="57"/>
      <c r="N21" s="63"/>
      <c r="O21" s="57"/>
      <c r="P21" s="57"/>
      <c r="Q21" s="57"/>
      <c r="R21" s="57"/>
      <c r="S21" s="57"/>
      <c r="T21" s="57"/>
      <c r="U21" s="58"/>
      <c r="V21" s="57"/>
      <c r="W21" s="97"/>
      <c r="X21" s="59"/>
      <c r="Y21" s="57"/>
      <c r="Z21" s="57"/>
      <c r="AA21" s="57"/>
      <c r="AB21" s="60"/>
      <c r="AC21" s="60"/>
      <c r="AD21" s="60"/>
      <c r="AE21" s="60"/>
      <c r="AF21" s="60"/>
      <c r="AG21" s="99"/>
      <c r="AH21" s="61"/>
      <c r="AI21" s="60"/>
      <c r="AJ21" s="60"/>
      <c r="AK21" s="60"/>
      <c r="AL21" s="60"/>
      <c r="AM21" s="60"/>
      <c r="AN21" s="60"/>
      <c r="AO21" s="60"/>
      <c r="AP21" s="99"/>
      <c r="AQ21" s="61"/>
      <c r="AR21" s="60"/>
      <c r="AS21" s="60"/>
      <c r="AT21" s="60"/>
      <c r="AU21" s="60"/>
      <c r="AV21" s="60"/>
      <c r="AW21" s="60"/>
      <c r="AX21" s="99"/>
      <c r="AY21" s="61"/>
      <c r="AZ21" s="62"/>
      <c r="BA21" s="60"/>
      <c r="BB21" s="62"/>
      <c r="BC21" s="60"/>
      <c r="BD21" s="60"/>
      <c r="BE21" s="60"/>
      <c r="BF21" s="37"/>
    </row>
    <row r="22" spans="1:58" ht="30" customHeight="1" x14ac:dyDescent="0.45">
      <c r="A22" s="49"/>
      <c r="B22" s="56">
        <v>8</v>
      </c>
      <c r="C22" s="85"/>
      <c r="D22" s="57"/>
      <c r="E22" s="57"/>
      <c r="F22" s="116"/>
      <c r="G22" s="57"/>
      <c r="H22" s="57"/>
      <c r="I22" s="57"/>
      <c r="J22" s="57"/>
      <c r="K22" s="57"/>
      <c r="L22" s="57"/>
      <c r="M22" s="57"/>
      <c r="N22" s="63"/>
      <c r="O22" s="57"/>
      <c r="P22" s="57"/>
      <c r="Q22" s="57"/>
      <c r="R22" s="57"/>
      <c r="S22" s="57"/>
      <c r="T22" s="57"/>
      <c r="U22" s="58"/>
      <c r="V22" s="57"/>
      <c r="W22" s="97"/>
      <c r="X22" s="59"/>
      <c r="Y22" s="57"/>
      <c r="Z22" s="57"/>
      <c r="AA22" s="57"/>
      <c r="AB22" s="60"/>
      <c r="AC22" s="60"/>
      <c r="AD22" s="60"/>
      <c r="AE22" s="60"/>
      <c r="AF22" s="60"/>
      <c r="AG22" s="99"/>
      <c r="AH22" s="61"/>
      <c r="AI22" s="60"/>
      <c r="AJ22" s="60"/>
      <c r="AK22" s="60"/>
      <c r="AL22" s="60"/>
      <c r="AM22" s="60"/>
      <c r="AN22" s="60"/>
      <c r="AO22" s="60"/>
      <c r="AP22" s="99"/>
      <c r="AQ22" s="61"/>
      <c r="AR22" s="60"/>
      <c r="AS22" s="60"/>
      <c r="AT22" s="60"/>
      <c r="AU22" s="60"/>
      <c r="AV22" s="60"/>
      <c r="AW22" s="60"/>
      <c r="AX22" s="99"/>
      <c r="AY22" s="61"/>
      <c r="AZ22" s="62"/>
      <c r="BA22" s="60"/>
      <c r="BB22" s="62"/>
      <c r="BC22" s="60"/>
      <c r="BD22" s="60"/>
      <c r="BE22" s="60"/>
      <c r="BF22" s="37"/>
    </row>
    <row r="23" spans="1:58" ht="30" customHeight="1" x14ac:dyDescent="0.45">
      <c r="A23" s="49"/>
      <c r="B23" s="56">
        <v>9</v>
      </c>
      <c r="C23" s="85"/>
      <c r="D23" s="57"/>
      <c r="E23" s="57"/>
      <c r="F23" s="116"/>
      <c r="G23" s="57"/>
      <c r="H23" s="57"/>
      <c r="I23" s="57"/>
      <c r="J23" s="57"/>
      <c r="K23" s="57"/>
      <c r="L23" s="57"/>
      <c r="M23" s="57"/>
      <c r="N23" s="63"/>
      <c r="O23" s="57"/>
      <c r="P23" s="57"/>
      <c r="Q23" s="57"/>
      <c r="R23" s="57"/>
      <c r="S23" s="57"/>
      <c r="T23" s="57"/>
      <c r="U23" s="58"/>
      <c r="V23" s="57"/>
      <c r="W23" s="97"/>
      <c r="X23" s="59"/>
      <c r="Y23" s="57"/>
      <c r="Z23" s="57"/>
      <c r="AA23" s="57"/>
      <c r="AB23" s="60"/>
      <c r="AC23" s="60"/>
      <c r="AD23" s="60"/>
      <c r="AE23" s="60"/>
      <c r="AF23" s="60"/>
      <c r="AG23" s="99"/>
      <c r="AH23" s="61"/>
      <c r="AI23" s="60"/>
      <c r="AJ23" s="60"/>
      <c r="AK23" s="60"/>
      <c r="AL23" s="60"/>
      <c r="AM23" s="60"/>
      <c r="AN23" s="60"/>
      <c r="AO23" s="60"/>
      <c r="AP23" s="99"/>
      <c r="AQ23" s="61"/>
      <c r="AR23" s="60"/>
      <c r="AS23" s="60"/>
      <c r="AT23" s="60"/>
      <c r="AU23" s="60"/>
      <c r="AV23" s="60"/>
      <c r="AW23" s="60"/>
      <c r="AX23" s="99"/>
      <c r="AY23" s="61"/>
      <c r="AZ23" s="62"/>
      <c r="BA23" s="60"/>
      <c r="BB23" s="62"/>
      <c r="BC23" s="60"/>
      <c r="BD23" s="60"/>
      <c r="BE23" s="60"/>
      <c r="BF23" s="37"/>
    </row>
    <row r="24" spans="1:58" ht="30" customHeight="1" x14ac:dyDescent="0.45">
      <c r="A24" s="49"/>
      <c r="B24" s="56">
        <v>10</v>
      </c>
      <c r="C24" s="85"/>
      <c r="D24" s="57"/>
      <c r="E24" s="57"/>
      <c r="F24" s="116"/>
      <c r="G24" s="57"/>
      <c r="H24" s="57"/>
      <c r="I24" s="57"/>
      <c r="J24" s="57"/>
      <c r="K24" s="57"/>
      <c r="L24" s="57"/>
      <c r="M24" s="57"/>
      <c r="N24" s="63"/>
      <c r="O24" s="57"/>
      <c r="P24" s="57"/>
      <c r="Q24" s="57"/>
      <c r="R24" s="57"/>
      <c r="S24" s="57"/>
      <c r="T24" s="57"/>
      <c r="U24" s="58"/>
      <c r="V24" s="57"/>
      <c r="W24" s="97"/>
      <c r="X24" s="59"/>
      <c r="Y24" s="57"/>
      <c r="Z24" s="57"/>
      <c r="AA24" s="57"/>
      <c r="AB24" s="60"/>
      <c r="AC24" s="60"/>
      <c r="AD24" s="60"/>
      <c r="AE24" s="60"/>
      <c r="AF24" s="60"/>
      <c r="AG24" s="99"/>
      <c r="AH24" s="61"/>
      <c r="AI24" s="60"/>
      <c r="AJ24" s="60"/>
      <c r="AK24" s="60"/>
      <c r="AL24" s="60"/>
      <c r="AM24" s="60"/>
      <c r="AN24" s="60"/>
      <c r="AO24" s="60"/>
      <c r="AP24" s="99"/>
      <c r="AQ24" s="61"/>
      <c r="AR24" s="60"/>
      <c r="AS24" s="60"/>
      <c r="AT24" s="60"/>
      <c r="AU24" s="60"/>
      <c r="AV24" s="60"/>
      <c r="AW24" s="60"/>
      <c r="AX24" s="99"/>
      <c r="AY24" s="61"/>
      <c r="AZ24" s="62"/>
      <c r="BA24" s="60"/>
      <c r="BB24" s="62"/>
      <c r="BC24" s="60"/>
      <c r="BD24" s="60"/>
      <c r="BE24" s="60"/>
      <c r="BF24" s="37"/>
    </row>
    <row r="25" spans="1:58" ht="30" customHeight="1" x14ac:dyDescent="0.45">
      <c r="A25" s="49"/>
      <c r="B25" s="56">
        <v>11</v>
      </c>
      <c r="C25" s="85"/>
      <c r="D25" s="57"/>
      <c r="E25" s="57"/>
      <c r="F25" s="116"/>
      <c r="G25" s="57"/>
      <c r="H25" s="57"/>
      <c r="I25" s="57"/>
      <c r="J25" s="57"/>
      <c r="K25" s="57"/>
      <c r="L25" s="57"/>
      <c r="M25" s="57"/>
      <c r="N25" s="63"/>
      <c r="O25" s="57"/>
      <c r="P25" s="57"/>
      <c r="Q25" s="57"/>
      <c r="R25" s="57"/>
      <c r="S25" s="57"/>
      <c r="T25" s="57"/>
      <c r="U25" s="58"/>
      <c r="V25" s="57"/>
      <c r="W25" s="97"/>
      <c r="X25" s="59"/>
      <c r="Y25" s="57"/>
      <c r="Z25" s="57"/>
      <c r="AA25" s="57"/>
      <c r="AB25" s="60"/>
      <c r="AC25" s="60"/>
      <c r="AD25" s="60"/>
      <c r="AE25" s="60"/>
      <c r="AF25" s="60"/>
      <c r="AG25" s="99"/>
      <c r="AH25" s="61"/>
      <c r="AI25" s="60"/>
      <c r="AJ25" s="60"/>
      <c r="AK25" s="60"/>
      <c r="AL25" s="60"/>
      <c r="AM25" s="60"/>
      <c r="AN25" s="60"/>
      <c r="AO25" s="60"/>
      <c r="AP25" s="99"/>
      <c r="AQ25" s="61"/>
      <c r="AR25" s="60"/>
      <c r="AS25" s="60"/>
      <c r="AT25" s="60"/>
      <c r="AU25" s="60"/>
      <c r="AV25" s="60"/>
      <c r="AW25" s="60"/>
      <c r="AX25" s="99"/>
      <c r="AY25" s="61"/>
      <c r="AZ25" s="62"/>
      <c r="BA25" s="60"/>
      <c r="BB25" s="62"/>
      <c r="BC25" s="60"/>
      <c r="BD25" s="60"/>
      <c r="BE25" s="60"/>
      <c r="BF25" s="37"/>
    </row>
    <row r="26" spans="1:58" ht="30" customHeight="1" x14ac:dyDescent="0.45">
      <c r="A26" s="49"/>
      <c r="B26" s="56">
        <v>12</v>
      </c>
      <c r="C26" s="85"/>
      <c r="D26" s="57"/>
      <c r="E26" s="57"/>
      <c r="F26" s="116"/>
      <c r="G26" s="57"/>
      <c r="H26" s="57"/>
      <c r="I26" s="57"/>
      <c r="J26" s="57"/>
      <c r="K26" s="57"/>
      <c r="L26" s="57"/>
      <c r="M26" s="57"/>
      <c r="N26" s="63"/>
      <c r="O26" s="57"/>
      <c r="P26" s="57"/>
      <c r="Q26" s="57"/>
      <c r="R26" s="57"/>
      <c r="S26" s="57"/>
      <c r="T26" s="57"/>
      <c r="U26" s="58"/>
      <c r="V26" s="57"/>
      <c r="W26" s="97"/>
      <c r="X26" s="59"/>
      <c r="Y26" s="57"/>
      <c r="Z26" s="57"/>
      <c r="AA26" s="57"/>
      <c r="AB26" s="60"/>
      <c r="AC26" s="60"/>
      <c r="AD26" s="60"/>
      <c r="AE26" s="60"/>
      <c r="AF26" s="60"/>
      <c r="AG26" s="99"/>
      <c r="AH26" s="61"/>
      <c r="AI26" s="60"/>
      <c r="AJ26" s="60"/>
      <c r="AK26" s="60"/>
      <c r="AL26" s="60"/>
      <c r="AM26" s="60"/>
      <c r="AN26" s="60"/>
      <c r="AO26" s="60"/>
      <c r="AP26" s="99"/>
      <c r="AQ26" s="61"/>
      <c r="AR26" s="60"/>
      <c r="AS26" s="60"/>
      <c r="AT26" s="60"/>
      <c r="AU26" s="60"/>
      <c r="AV26" s="60"/>
      <c r="AW26" s="60"/>
      <c r="AX26" s="99"/>
      <c r="AY26" s="61"/>
      <c r="AZ26" s="62"/>
      <c r="BA26" s="60"/>
      <c r="BB26" s="62"/>
      <c r="BC26" s="60"/>
      <c r="BD26" s="60"/>
      <c r="BE26" s="60"/>
      <c r="BF26" s="37"/>
    </row>
    <row r="27" spans="1:58" ht="30" customHeight="1" x14ac:dyDescent="0.45">
      <c r="A27" s="49"/>
      <c r="B27" s="56">
        <v>13</v>
      </c>
      <c r="C27" s="85"/>
      <c r="D27" s="57"/>
      <c r="E27" s="57"/>
      <c r="F27" s="116"/>
      <c r="G27" s="57"/>
      <c r="H27" s="57"/>
      <c r="I27" s="57"/>
      <c r="J27" s="57"/>
      <c r="K27" s="57"/>
      <c r="L27" s="57"/>
      <c r="M27" s="57"/>
      <c r="N27" s="63"/>
      <c r="O27" s="57"/>
      <c r="P27" s="57"/>
      <c r="Q27" s="57"/>
      <c r="R27" s="57"/>
      <c r="S27" s="57"/>
      <c r="T27" s="57"/>
      <c r="U27" s="58"/>
      <c r="V27" s="57"/>
      <c r="W27" s="97"/>
      <c r="X27" s="59"/>
      <c r="Y27" s="57"/>
      <c r="Z27" s="57"/>
      <c r="AA27" s="57"/>
      <c r="AB27" s="60"/>
      <c r="AC27" s="60"/>
      <c r="AD27" s="60"/>
      <c r="AE27" s="60"/>
      <c r="AF27" s="60"/>
      <c r="AG27" s="99"/>
      <c r="AH27" s="61"/>
      <c r="AI27" s="60"/>
      <c r="AJ27" s="60"/>
      <c r="AK27" s="60"/>
      <c r="AL27" s="60"/>
      <c r="AM27" s="60"/>
      <c r="AN27" s="60"/>
      <c r="AO27" s="60"/>
      <c r="AP27" s="99"/>
      <c r="AQ27" s="61"/>
      <c r="AR27" s="60"/>
      <c r="AS27" s="60"/>
      <c r="AT27" s="60"/>
      <c r="AU27" s="60"/>
      <c r="AV27" s="60"/>
      <c r="AW27" s="60"/>
      <c r="AX27" s="99"/>
      <c r="AY27" s="61"/>
      <c r="AZ27" s="62"/>
      <c r="BA27" s="60"/>
      <c r="BB27" s="62"/>
      <c r="BC27" s="60"/>
      <c r="BD27" s="60"/>
      <c r="BE27" s="60"/>
      <c r="BF27" s="37"/>
    </row>
    <row r="28" spans="1:58" ht="30" customHeight="1" x14ac:dyDescent="0.45">
      <c r="A28" s="49"/>
      <c r="B28" s="56">
        <v>14</v>
      </c>
      <c r="C28" s="85"/>
      <c r="D28" s="57"/>
      <c r="E28" s="57"/>
      <c r="F28" s="116"/>
      <c r="G28" s="57"/>
      <c r="H28" s="57"/>
      <c r="I28" s="57"/>
      <c r="J28" s="57"/>
      <c r="K28" s="57"/>
      <c r="L28" s="57"/>
      <c r="M28" s="57"/>
      <c r="N28" s="63"/>
      <c r="O28" s="57"/>
      <c r="P28" s="57"/>
      <c r="Q28" s="57"/>
      <c r="R28" s="57"/>
      <c r="S28" s="57"/>
      <c r="T28" s="57"/>
      <c r="U28" s="58"/>
      <c r="V28" s="57"/>
      <c r="W28" s="97"/>
      <c r="X28" s="59"/>
      <c r="Y28" s="57"/>
      <c r="Z28" s="57"/>
      <c r="AA28" s="57"/>
      <c r="AB28" s="60"/>
      <c r="AC28" s="60"/>
      <c r="AD28" s="60"/>
      <c r="AE28" s="60"/>
      <c r="AF28" s="60"/>
      <c r="AG28" s="99"/>
      <c r="AH28" s="61"/>
      <c r="AI28" s="60"/>
      <c r="AJ28" s="60"/>
      <c r="AK28" s="60"/>
      <c r="AL28" s="60"/>
      <c r="AM28" s="60"/>
      <c r="AN28" s="60"/>
      <c r="AO28" s="60"/>
      <c r="AP28" s="99"/>
      <c r="AQ28" s="61"/>
      <c r="AR28" s="60"/>
      <c r="AS28" s="60"/>
      <c r="AT28" s="60"/>
      <c r="AU28" s="60"/>
      <c r="AV28" s="60"/>
      <c r="AW28" s="60"/>
      <c r="AX28" s="99"/>
      <c r="AY28" s="61"/>
      <c r="AZ28" s="62"/>
      <c r="BA28" s="60"/>
      <c r="BB28" s="62"/>
      <c r="BC28" s="60"/>
      <c r="BD28" s="60"/>
      <c r="BE28" s="60"/>
      <c r="BF28" s="37"/>
    </row>
    <row r="29" spans="1:58" ht="30" customHeight="1" x14ac:dyDescent="0.45">
      <c r="A29" s="49"/>
      <c r="B29" s="56">
        <v>15</v>
      </c>
      <c r="C29" s="85"/>
      <c r="D29" s="57"/>
      <c r="E29" s="57"/>
      <c r="F29" s="116"/>
      <c r="G29" s="57"/>
      <c r="H29" s="57"/>
      <c r="I29" s="57"/>
      <c r="J29" s="57"/>
      <c r="K29" s="57"/>
      <c r="L29" s="57"/>
      <c r="M29" s="57"/>
      <c r="N29" s="63"/>
      <c r="O29" s="57"/>
      <c r="P29" s="57"/>
      <c r="Q29" s="57"/>
      <c r="R29" s="57"/>
      <c r="S29" s="57"/>
      <c r="T29" s="57"/>
      <c r="U29" s="58"/>
      <c r="V29" s="57"/>
      <c r="W29" s="97"/>
      <c r="X29" s="59"/>
      <c r="Y29" s="57"/>
      <c r="Z29" s="57"/>
      <c r="AA29" s="57"/>
      <c r="AB29" s="60"/>
      <c r="AC29" s="60"/>
      <c r="AD29" s="60"/>
      <c r="AE29" s="60"/>
      <c r="AF29" s="60"/>
      <c r="AG29" s="99"/>
      <c r="AH29" s="61"/>
      <c r="AI29" s="60"/>
      <c r="AJ29" s="60"/>
      <c r="AK29" s="60"/>
      <c r="AL29" s="60"/>
      <c r="AM29" s="60"/>
      <c r="AN29" s="60"/>
      <c r="AO29" s="60"/>
      <c r="AP29" s="99"/>
      <c r="AQ29" s="61"/>
      <c r="AR29" s="60"/>
      <c r="AS29" s="60"/>
      <c r="AT29" s="60"/>
      <c r="AU29" s="60"/>
      <c r="AV29" s="60"/>
      <c r="AW29" s="60"/>
      <c r="AX29" s="99"/>
      <c r="AY29" s="61"/>
      <c r="AZ29" s="62"/>
      <c r="BA29" s="60"/>
      <c r="BB29" s="62"/>
      <c r="BC29" s="60"/>
      <c r="BD29" s="60"/>
      <c r="BE29" s="60"/>
      <c r="BF29" s="37"/>
    </row>
    <row r="30" spans="1:58" ht="30" customHeight="1" x14ac:dyDescent="0.45">
      <c r="A30" s="49"/>
      <c r="B30" s="56">
        <v>16</v>
      </c>
      <c r="C30" s="85"/>
      <c r="D30" s="57"/>
      <c r="E30" s="57"/>
      <c r="F30" s="116"/>
      <c r="G30" s="57"/>
      <c r="H30" s="57"/>
      <c r="I30" s="57"/>
      <c r="J30" s="57"/>
      <c r="K30" s="57"/>
      <c r="L30" s="57"/>
      <c r="M30" s="57"/>
      <c r="N30" s="63"/>
      <c r="O30" s="57"/>
      <c r="P30" s="57"/>
      <c r="Q30" s="57"/>
      <c r="R30" s="57"/>
      <c r="S30" s="57"/>
      <c r="T30" s="57"/>
      <c r="U30" s="58"/>
      <c r="V30" s="57"/>
      <c r="W30" s="97"/>
      <c r="X30" s="59"/>
      <c r="Y30" s="57"/>
      <c r="Z30" s="57"/>
      <c r="AA30" s="57"/>
      <c r="AB30" s="60"/>
      <c r="AC30" s="60"/>
      <c r="AD30" s="60"/>
      <c r="AE30" s="60"/>
      <c r="AF30" s="60"/>
      <c r="AG30" s="99"/>
      <c r="AH30" s="61"/>
      <c r="AI30" s="60"/>
      <c r="AJ30" s="60"/>
      <c r="AK30" s="60"/>
      <c r="AL30" s="60"/>
      <c r="AM30" s="60"/>
      <c r="AN30" s="60"/>
      <c r="AO30" s="60"/>
      <c r="AP30" s="99"/>
      <c r="AQ30" s="61"/>
      <c r="AR30" s="60"/>
      <c r="AS30" s="60"/>
      <c r="AT30" s="60"/>
      <c r="AU30" s="60"/>
      <c r="AV30" s="60"/>
      <c r="AW30" s="60"/>
      <c r="AX30" s="99"/>
      <c r="AY30" s="61"/>
      <c r="AZ30" s="62"/>
      <c r="BA30" s="60"/>
      <c r="BB30" s="62"/>
      <c r="BC30" s="60"/>
      <c r="BD30" s="60"/>
      <c r="BE30" s="60"/>
      <c r="BF30" s="37"/>
    </row>
    <row r="31" spans="1:58" ht="30" customHeight="1" x14ac:dyDescent="0.45">
      <c r="A31" s="49"/>
      <c r="B31" s="56">
        <v>17</v>
      </c>
      <c r="C31" s="85"/>
      <c r="D31" s="57"/>
      <c r="E31" s="57"/>
      <c r="F31" s="116"/>
      <c r="G31" s="57"/>
      <c r="H31" s="57"/>
      <c r="I31" s="57"/>
      <c r="J31" s="57"/>
      <c r="K31" s="57"/>
      <c r="L31" s="57"/>
      <c r="M31" s="57"/>
      <c r="N31" s="63"/>
      <c r="O31" s="57"/>
      <c r="P31" s="57"/>
      <c r="Q31" s="57"/>
      <c r="R31" s="57"/>
      <c r="S31" s="57"/>
      <c r="T31" s="57"/>
      <c r="U31" s="58"/>
      <c r="V31" s="57"/>
      <c r="W31" s="97"/>
      <c r="X31" s="59"/>
      <c r="Y31" s="57"/>
      <c r="Z31" s="57"/>
      <c r="AA31" s="57"/>
      <c r="AB31" s="60"/>
      <c r="AC31" s="60"/>
      <c r="AD31" s="60"/>
      <c r="AE31" s="60"/>
      <c r="AF31" s="60"/>
      <c r="AG31" s="99"/>
      <c r="AH31" s="61"/>
      <c r="AI31" s="60"/>
      <c r="AJ31" s="60"/>
      <c r="AK31" s="60"/>
      <c r="AL31" s="60"/>
      <c r="AM31" s="60"/>
      <c r="AN31" s="60"/>
      <c r="AO31" s="60"/>
      <c r="AP31" s="99"/>
      <c r="AQ31" s="61"/>
      <c r="AR31" s="60"/>
      <c r="AS31" s="60"/>
      <c r="AT31" s="60"/>
      <c r="AU31" s="60"/>
      <c r="AV31" s="60"/>
      <c r="AW31" s="60"/>
      <c r="AX31" s="99"/>
      <c r="AY31" s="61"/>
      <c r="AZ31" s="62"/>
      <c r="BA31" s="60"/>
      <c r="BB31" s="62"/>
      <c r="BC31" s="60"/>
      <c r="BD31" s="60"/>
      <c r="BE31" s="60"/>
      <c r="BF31" s="37"/>
    </row>
    <row r="32" spans="1:58" ht="30" customHeight="1" x14ac:dyDescent="0.45">
      <c r="A32" s="49"/>
      <c r="B32" s="56">
        <v>18</v>
      </c>
      <c r="C32" s="86"/>
      <c r="D32" s="57"/>
      <c r="E32" s="57"/>
      <c r="F32" s="116"/>
      <c r="G32" s="57"/>
      <c r="H32" s="57"/>
      <c r="I32" s="57"/>
      <c r="J32" s="57"/>
      <c r="K32" s="57"/>
      <c r="L32" s="57"/>
      <c r="M32" s="57"/>
      <c r="N32" s="63"/>
      <c r="O32" s="57"/>
      <c r="P32" s="57"/>
      <c r="Q32" s="57"/>
      <c r="R32" s="57"/>
      <c r="S32" s="57"/>
      <c r="T32" s="57"/>
      <c r="U32" s="58"/>
      <c r="V32" s="57"/>
      <c r="W32" s="97"/>
      <c r="X32" s="59"/>
      <c r="Y32" s="57"/>
      <c r="Z32" s="57"/>
      <c r="AA32" s="57"/>
      <c r="AB32" s="60"/>
      <c r="AC32" s="60"/>
      <c r="AD32" s="60"/>
      <c r="AE32" s="60"/>
      <c r="AF32" s="60"/>
      <c r="AG32" s="99"/>
      <c r="AH32" s="61"/>
      <c r="AI32" s="60"/>
      <c r="AJ32" s="60"/>
      <c r="AK32" s="60"/>
      <c r="AL32" s="60"/>
      <c r="AM32" s="60"/>
      <c r="AN32" s="60"/>
      <c r="AO32" s="60"/>
      <c r="AP32" s="99"/>
      <c r="AQ32" s="61"/>
      <c r="AR32" s="60"/>
      <c r="AS32" s="60"/>
      <c r="AT32" s="60"/>
      <c r="AU32" s="60"/>
      <c r="AV32" s="60"/>
      <c r="AW32" s="60"/>
      <c r="AX32" s="99"/>
      <c r="AY32" s="61"/>
      <c r="AZ32" s="62"/>
      <c r="BA32" s="57"/>
      <c r="BB32" s="116"/>
      <c r="BC32" s="57"/>
      <c r="BD32" s="57"/>
      <c r="BE32" s="57"/>
      <c r="BF32" s="37"/>
    </row>
    <row r="33" spans="1:58" ht="30" customHeight="1" x14ac:dyDescent="0.45">
      <c r="A33" s="49"/>
      <c r="B33" s="56">
        <v>19</v>
      </c>
      <c r="C33" s="87"/>
      <c r="D33" s="63"/>
      <c r="E33" s="57"/>
      <c r="F33" s="116"/>
      <c r="G33" s="57"/>
      <c r="H33" s="57"/>
      <c r="I33" s="57"/>
      <c r="J33" s="57"/>
      <c r="K33" s="57"/>
      <c r="L33" s="57"/>
      <c r="M33" s="57"/>
      <c r="N33" s="63"/>
      <c r="O33" s="57"/>
      <c r="P33" s="57"/>
      <c r="Q33" s="57"/>
      <c r="R33" s="57"/>
      <c r="S33" s="57"/>
      <c r="T33" s="57"/>
      <c r="U33" s="58"/>
      <c r="V33" s="57"/>
      <c r="W33" s="97"/>
      <c r="X33" s="59"/>
      <c r="Y33" s="57"/>
      <c r="Z33" s="57"/>
      <c r="AA33" s="57"/>
      <c r="AB33" s="60"/>
      <c r="AC33" s="60"/>
      <c r="AD33" s="60"/>
      <c r="AE33" s="60"/>
      <c r="AF33" s="60"/>
      <c r="AG33" s="99"/>
      <c r="AH33" s="61"/>
      <c r="AI33" s="60"/>
      <c r="AJ33" s="60"/>
      <c r="AK33" s="60"/>
      <c r="AL33" s="60"/>
      <c r="AM33" s="60"/>
      <c r="AN33" s="60"/>
      <c r="AO33" s="60"/>
      <c r="AP33" s="99"/>
      <c r="AQ33" s="61"/>
      <c r="AR33" s="60"/>
      <c r="AS33" s="60"/>
      <c r="AT33" s="60"/>
      <c r="AU33" s="60"/>
      <c r="AV33" s="60"/>
      <c r="AW33" s="60"/>
      <c r="AX33" s="99"/>
      <c r="AY33" s="61"/>
      <c r="AZ33" s="62"/>
      <c r="BA33" s="57"/>
      <c r="BB33" s="116"/>
      <c r="BC33" s="57"/>
      <c r="BD33" s="57"/>
      <c r="BE33" s="57"/>
      <c r="BF33" s="37"/>
    </row>
    <row r="34" spans="1:58" ht="30" customHeight="1" thickBot="1" x14ac:dyDescent="0.5">
      <c r="A34" s="49"/>
      <c r="B34" s="64">
        <v>20</v>
      </c>
      <c r="C34" s="88"/>
      <c r="D34" s="89"/>
      <c r="E34" s="90"/>
      <c r="F34" s="118"/>
      <c r="G34" s="57"/>
      <c r="H34" s="57"/>
      <c r="I34" s="57"/>
      <c r="J34" s="57"/>
      <c r="K34" s="57"/>
      <c r="L34" s="57"/>
      <c r="M34" s="57"/>
      <c r="N34" s="63"/>
      <c r="O34" s="57"/>
      <c r="P34" s="57"/>
      <c r="Q34" s="57"/>
      <c r="R34" s="57"/>
      <c r="S34" s="57"/>
      <c r="T34" s="57"/>
      <c r="U34" s="58"/>
      <c r="V34" s="57"/>
      <c r="W34" s="97"/>
      <c r="X34" s="59"/>
      <c r="Y34" s="57"/>
      <c r="Z34" s="57"/>
      <c r="AA34" s="57"/>
      <c r="AB34" s="60"/>
      <c r="AC34" s="60"/>
      <c r="AD34" s="60"/>
      <c r="AE34" s="60"/>
      <c r="AF34" s="60"/>
      <c r="AG34" s="99"/>
      <c r="AH34" s="61"/>
      <c r="AI34" s="60"/>
      <c r="AJ34" s="60"/>
      <c r="AK34" s="60"/>
      <c r="AL34" s="60"/>
      <c r="AM34" s="60"/>
      <c r="AN34" s="60"/>
      <c r="AO34" s="60"/>
      <c r="AP34" s="99"/>
      <c r="AQ34" s="61"/>
      <c r="AR34" s="60"/>
      <c r="AS34" s="60"/>
      <c r="AT34" s="60"/>
      <c r="AU34" s="60"/>
      <c r="AV34" s="60"/>
      <c r="AW34" s="60"/>
      <c r="AX34" s="99"/>
      <c r="AY34" s="61"/>
      <c r="AZ34" s="62"/>
      <c r="BA34" s="60"/>
      <c r="BB34" s="122"/>
      <c r="BC34" s="123"/>
      <c r="BD34" s="123"/>
      <c r="BE34" s="123"/>
      <c r="BF34" s="37"/>
    </row>
    <row r="35" spans="1:58" ht="30" customHeight="1" thickBot="1" x14ac:dyDescent="0.5">
      <c r="A35" s="49"/>
      <c r="B35" s="91" t="s">
        <v>37</v>
      </c>
      <c r="C35" s="82"/>
      <c r="D35" s="83"/>
      <c r="E35" s="84"/>
      <c r="F35" s="119"/>
      <c r="G35" s="57"/>
      <c r="H35" s="57"/>
      <c r="I35" s="57"/>
      <c r="J35" s="57"/>
      <c r="K35" s="57"/>
      <c r="L35" s="57"/>
      <c r="M35" s="57"/>
      <c r="N35" s="120"/>
      <c r="O35" s="65"/>
      <c r="P35" s="65"/>
      <c r="Q35" s="65"/>
      <c r="R35" s="65"/>
      <c r="S35" s="65"/>
      <c r="T35" s="65"/>
      <c r="U35" s="66"/>
      <c r="V35" s="65"/>
      <c r="W35" s="98"/>
      <c r="X35" s="68"/>
      <c r="Y35" s="65"/>
      <c r="Z35" s="65"/>
      <c r="AA35" s="65"/>
      <c r="AB35" s="69"/>
      <c r="AC35" s="69"/>
      <c r="AD35" s="69"/>
      <c r="AE35" s="69"/>
      <c r="AF35" s="69"/>
      <c r="AG35" s="100"/>
      <c r="AH35" s="70"/>
      <c r="AI35" s="69"/>
      <c r="AJ35" s="69"/>
      <c r="AK35" s="69"/>
      <c r="AL35" s="69"/>
      <c r="AM35" s="69"/>
      <c r="AN35" s="69"/>
      <c r="AO35" s="69"/>
      <c r="AP35" s="100"/>
      <c r="AQ35" s="70"/>
      <c r="AR35" s="69"/>
      <c r="AS35" s="69"/>
      <c r="AT35" s="69"/>
      <c r="AU35" s="69"/>
      <c r="AV35" s="69"/>
      <c r="AW35" s="69"/>
      <c r="AX35" s="100"/>
      <c r="AY35" s="70"/>
      <c r="AZ35" s="69"/>
      <c r="BA35" s="67"/>
      <c r="BB35" s="124"/>
      <c r="BC35" s="125"/>
      <c r="BD35" s="125"/>
      <c r="BE35" s="126"/>
      <c r="BF35" s="37"/>
    </row>
    <row r="36" spans="1:58" ht="30" customHeight="1" x14ac:dyDescent="0.45">
      <c r="A36" s="49"/>
      <c r="B36" s="94"/>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95" t="s">
        <v>36</v>
      </c>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37"/>
    </row>
    <row r="37" spans="1:58" ht="24" customHeight="1" thickBot="1" x14ac:dyDescent="0.5">
      <c r="A37" s="49"/>
      <c r="B37" s="161" t="s">
        <v>35</v>
      </c>
      <c r="C37" s="161"/>
      <c r="D37" s="161"/>
      <c r="E37" s="161"/>
      <c r="F37" s="161"/>
      <c r="G37" s="161"/>
      <c r="H37" s="161"/>
      <c r="I37" s="161"/>
      <c r="J37" s="161"/>
      <c r="K37" s="161"/>
      <c r="L37" s="161"/>
      <c r="M37" s="161"/>
      <c r="N37" s="161"/>
      <c r="O37" s="161"/>
      <c r="P37" s="161"/>
      <c r="Q37" s="161"/>
      <c r="R37" s="175" t="s">
        <v>34</v>
      </c>
      <c r="S37" s="175"/>
      <c r="T37" s="175"/>
      <c r="U37" s="175"/>
      <c r="V37" s="175"/>
      <c r="W37" s="175" t="s">
        <v>66</v>
      </c>
      <c r="X37" s="175"/>
      <c r="Y37" s="175"/>
      <c r="Z37" s="175"/>
      <c r="AA37" s="175"/>
      <c r="AB37" s="52"/>
      <c r="AC37" s="71"/>
      <c r="AD37" s="71"/>
      <c r="AE37" s="71"/>
      <c r="AF37" s="71"/>
      <c r="AG37" s="71"/>
      <c r="AH37" s="71"/>
      <c r="AI37" s="71"/>
      <c r="AJ37" s="71"/>
      <c r="AK37" s="71"/>
      <c r="AL37" s="71"/>
      <c r="AM37" s="71"/>
      <c r="AN37" s="71"/>
      <c r="AO37" s="71"/>
      <c r="AP37" s="71"/>
      <c r="AQ37" s="71"/>
      <c r="AR37" s="71"/>
      <c r="AS37" s="71"/>
      <c r="AT37" s="71"/>
      <c r="AU37" s="52"/>
      <c r="AV37" s="52"/>
      <c r="AW37" s="52"/>
      <c r="AX37" s="52"/>
      <c r="AY37" s="52"/>
      <c r="AZ37" s="52"/>
      <c r="BA37" s="52"/>
      <c r="BB37" s="52"/>
      <c r="BC37" s="52"/>
      <c r="BD37" s="52"/>
      <c r="BE37" s="52"/>
      <c r="BF37" s="37"/>
    </row>
    <row r="38" spans="1:58" ht="24" customHeight="1" thickBot="1" x14ac:dyDescent="0.5">
      <c r="A38" s="49"/>
      <c r="B38" s="161"/>
      <c r="C38" s="161"/>
      <c r="D38" s="161"/>
      <c r="E38" s="161"/>
      <c r="F38" s="161"/>
      <c r="G38" s="161"/>
      <c r="H38" s="161"/>
      <c r="I38" s="161"/>
      <c r="J38" s="161"/>
      <c r="K38" s="161"/>
      <c r="L38" s="161"/>
      <c r="M38" s="161"/>
      <c r="N38" s="161"/>
      <c r="O38" s="161"/>
      <c r="P38" s="161"/>
      <c r="Q38" s="161"/>
      <c r="R38" s="175" t="s">
        <v>33</v>
      </c>
      <c r="S38" s="175"/>
      <c r="T38" s="175"/>
      <c r="U38" s="175"/>
      <c r="V38" s="175"/>
      <c r="W38" s="175" t="s">
        <v>67</v>
      </c>
      <c r="X38" s="175"/>
      <c r="Y38" s="175"/>
      <c r="Z38" s="175"/>
      <c r="AA38" s="175"/>
      <c r="AB38" s="52"/>
      <c r="AC38" s="71"/>
      <c r="AD38" s="71"/>
      <c r="AE38" s="71"/>
      <c r="AF38" s="71"/>
      <c r="AG38" s="71"/>
      <c r="AH38" s="71"/>
      <c r="AI38" s="71"/>
      <c r="AJ38" s="71"/>
      <c r="AK38" s="71"/>
      <c r="AL38" s="71"/>
      <c r="AM38" s="71"/>
      <c r="AN38" s="71"/>
      <c r="AO38" s="71"/>
      <c r="AP38" s="71"/>
      <c r="AQ38" s="71"/>
      <c r="AR38" s="71"/>
      <c r="AS38" s="71"/>
      <c r="AT38" s="71"/>
      <c r="AU38" s="52"/>
      <c r="AV38" s="52"/>
      <c r="AW38" s="52"/>
      <c r="AX38" s="52"/>
      <c r="AY38" s="52"/>
      <c r="AZ38" s="52"/>
      <c r="BA38" s="52"/>
      <c r="BB38" s="52"/>
      <c r="BC38" s="52"/>
      <c r="BD38" s="52"/>
      <c r="BE38" s="52"/>
      <c r="BF38" s="37"/>
    </row>
    <row r="39" spans="1:58" ht="24" customHeight="1" thickBot="1" x14ac:dyDescent="0.5">
      <c r="A39" s="49"/>
      <c r="B39" s="161"/>
      <c r="C39" s="161"/>
      <c r="D39" s="161"/>
      <c r="E39" s="161"/>
      <c r="F39" s="161"/>
      <c r="G39" s="161"/>
      <c r="H39" s="161"/>
      <c r="I39" s="161"/>
      <c r="J39" s="161"/>
      <c r="K39" s="161"/>
      <c r="L39" s="161"/>
      <c r="M39" s="161"/>
      <c r="N39" s="161"/>
      <c r="O39" s="161"/>
      <c r="P39" s="161"/>
      <c r="Q39" s="161"/>
      <c r="R39" s="175" t="s">
        <v>57</v>
      </c>
      <c r="S39" s="175"/>
      <c r="T39" s="175"/>
      <c r="U39" s="175"/>
      <c r="V39" s="175"/>
      <c r="W39" s="175" t="s">
        <v>96</v>
      </c>
      <c r="X39" s="175"/>
      <c r="Y39" s="175"/>
      <c r="Z39" s="175"/>
      <c r="AA39" s="175"/>
      <c r="AB39" s="52"/>
      <c r="AC39" s="71"/>
      <c r="AD39" s="71"/>
      <c r="AE39" s="71"/>
      <c r="AF39" s="71"/>
      <c r="AG39" s="71"/>
      <c r="AH39" s="71"/>
      <c r="AI39" s="71"/>
      <c r="AJ39" s="71"/>
      <c r="AK39" s="71"/>
      <c r="AL39" s="71"/>
      <c r="AM39" s="71"/>
      <c r="AN39" s="71"/>
      <c r="AO39" s="71"/>
      <c r="AP39" s="71"/>
      <c r="AQ39" s="71"/>
      <c r="AR39" s="71"/>
      <c r="AS39" s="71"/>
      <c r="AT39" s="71"/>
      <c r="AU39" s="52"/>
      <c r="AV39" s="52"/>
      <c r="AW39" s="52"/>
      <c r="AX39" s="52"/>
      <c r="AY39" s="52"/>
      <c r="AZ39" s="52"/>
      <c r="BA39" s="52"/>
      <c r="BB39" s="52"/>
      <c r="BC39" s="52"/>
      <c r="BD39" s="52"/>
      <c r="BE39" s="52"/>
      <c r="BF39" s="37"/>
    </row>
    <row r="40" spans="1:58" ht="24" customHeight="1" x14ac:dyDescent="0.45">
      <c r="A40" s="49"/>
      <c r="B40" s="161"/>
      <c r="C40" s="161"/>
      <c r="D40" s="161"/>
      <c r="E40" s="161"/>
      <c r="F40" s="161"/>
      <c r="G40" s="161"/>
      <c r="H40" s="161"/>
      <c r="I40" s="161"/>
      <c r="J40" s="161"/>
      <c r="K40" s="161"/>
      <c r="L40" s="161"/>
      <c r="M40" s="161"/>
      <c r="N40" s="161"/>
      <c r="O40" s="161"/>
      <c r="P40" s="161"/>
      <c r="Q40" s="161"/>
      <c r="R40" s="175" t="s">
        <v>32</v>
      </c>
      <c r="S40" s="175"/>
      <c r="T40" s="175"/>
      <c r="U40" s="175"/>
      <c r="V40" s="175"/>
      <c r="W40" s="175" t="s">
        <v>97</v>
      </c>
      <c r="X40" s="175"/>
      <c r="Y40" s="175"/>
      <c r="Z40" s="175"/>
      <c r="AA40" s="175"/>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37"/>
    </row>
    <row r="41" spans="1:58" ht="24" customHeight="1" x14ac:dyDescent="0.45">
      <c r="A41" s="49"/>
      <c r="B41" s="161"/>
      <c r="C41" s="161"/>
      <c r="D41" s="161"/>
      <c r="E41" s="161"/>
      <c r="F41" s="161"/>
      <c r="G41" s="161"/>
      <c r="H41" s="161"/>
      <c r="I41" s="161"/>
      <c r="J41" s="161"/>
      <c r="K41" s="161"/>
      <c r="L41" s="161"/>
      <c r="M41" s="161"/>
      <c r="N41" s="161"/>
      <c r="O41" s="161"/>
      <c r="P41" s="161"/>
      <c r="Q41" s="161"/>
      <c r="R41" s="160" t="s">
        <v>59</v>
      </c>
      <c r="S41" s="160"/>
      <c r="T41" s="160"/>
      <c r="U41" s="160"/>
      <c r="V41" s="160"/>
      <c r="W41" s="175" t="s">
        <v>95</v>
      </c>
      <c r="X41" s="175"/>
      <c r="Y41" s="175"/>
      <c r="Z41" s="175"/>
      <c r="AA41" s="175"/>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37"/>
    </row>
    <row r="42" spans="1:58" ht="24" customHeight="1" x14ac:dyDescent="0.45">
      <c r="A42" s="49"/>
      <c r="B42" s="161"/>
      <c r="C42" s="161"/>
      <c r="D42" s="161"/>
      <c r="E42" s="161"/>
      <c r="F42" s="161"/>
      <c r="G42" s="161"/>
      <c r="H42" s="161"/>
      <c r="I42" s="161"/>
      <c r="J42" s="161"/>
      <c r="K42" s="161"/>
      <c r="L42" s="161"/>
      <c r="M42" s="161"/>
      <c r="N42" s="161"/>
      <c r="O42" s="161"/>
      <c r="P42" s="161"/>
      <c r="Q42" s="161"/>
      <c r="R42" s="160" t="s">
        <v>65</v>
      </c>
      <c r="S42" s="160"/>
      <c r="T42" s="160"/>
      <c r="U42" s="160"/>
      <c r="V42" s="160"/>
      <c r="W42" s="160"/>
      <c r="X42" s="160"/>
      <c r="Y42" s="160"/>
      <c r="Z42" s="160"/>
      <c r="AA42" s="160"/>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37"/>
    </row>
    <row r="43" spans="1:58" ht="24.75" customHeight="1" x14ac:dyDescent="0.45">
      <c r="A43" s="49"/>
      <c r="B43" s="173" t="s">
        <v>58</v>
      </c>
      <c r="C43" s="173"/>
      <c r="D43" s="173"/>
      <c r="E43" s="173"/>
      <c r="F43" s="173"/>
      <c r="G43" s="173"/>
      <c r="H43" s="173"/>
      <c r="I43" s="173"/>
      <c r="J43" s="173"/>
      <c r="K43" s="173"/>
      <c r="L43" s="173"/>
      <c r="M43" s="173"/>
      <c r="N43" s="173"/>
      <c r="O43" s="173"/>
      <c r="P43" s="173"/>
      <c r="Q43" s="174"/>
      <c r="R43" s="177" t="s">
        <v>84</v>
      </c>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37"/>
    </row>
    <row r="44" spans="1:58" ht="24.75" customHeight="1" x14ac:dyDescent="0.45">
      <c r="A44" s="49"/>
      <c r="B44" s="173"/>
      <c r="C44" s="173"/>
      <c r="D44" s="173"/>
      <c r="E44" s="173"/>
      <c r="F44" s="173"/>
      <c r="G44" s="173"/>
      <c r="H44" s="173"/>
      <c r="I44" s="173"/>
      <c r="J44" s="173"/>
      <c r="K44" s="173"/>
      <c r="L44" s="173"/>
      <c r="M44" s="173"/>
      <c r="N44" s="173"/>
      <c r="O44" s="173"/>
      <c r="P44" s="173"/>
      <c r="Q44" s="174"/>
      <c r="R44" s="177" t="s">
        <v>85</v>
      </c>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37"/>
    </row>
    <row r="45" spans="1:58" ht="24.75" customHeight="1" x14ac:dyDescent="0.45">
      <c r="A45" s="49"/>
      <c r="B45" s="173"/>
      <c r="C45" s="173"/>
      <c r="D45" s="173"/>
      <c r="E45" s="173"/>
      <c r="F45" s="173"/>
      <c r="G45" s="173"/>
      <c r="H45" s="173"/>
      <c r="I45" s="173"/>
      <c r="J45" s="173"/>
      <c r="K45" s="173"/>
      <c r="L45" s="173"/>
      <c r="M45" s="173"/>
      <c r="N45" s="173"/>
      <c r="O45" s="173"/>
      <c r="P45" s="173"/>
      <c r="Q45" s="174"/>
      <c r="R45" s="178" t="s">
        <v>86</v>
      </c>
      <c r="S45" s="178"/>
      <c r="T45" s="178"/>
      <c r="U45" s="178"/>
      <c r="V45" s="178"/>
      <c r="W45" s="178"/>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37"/>
    </row>
    <row r="46" spans="1:58" ht="24.75" customHeight="1" x14ac:dyDescent="0.45">
      <c r="A46" s="49"/>
      <c r="B46" s="173"/>
      <c r="C46" s="173"/>
      <c r="D46" s="173"/>
      <c r="E46" s="173"/>
      <c r="F46" s="173"/>
      <c r="G46" s="173"/>
      <c r="H46" s="173"/>
      <c r="I46" s="173"/>
      <c r="J46" s="173"/>
      <c r="K46" s="173"/>
      <c r="L46" s="173"/>
      <c r="M46" s="173"/>
      <c r="N46" s="173"/>
      <c r="O46" s="173"/>
      <c r="P46" s="173"/>
      <c r="Q46" s="174"/>
      <c r="R46" s="178" t="s">
        <v>87</v>
      </c>
      <c r="S46" s="178"/>
      <c r="T46" s="178"/>
      <c r="U46" s="178"/>
      <c r="V46" s="178"/>
      <c r="W46" s="178"/>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37"/>
    </row>
    <row r="47" spans="1:58" ht="24" customHeight="1" x14ac:dyDescent="0.45">
      <c r="A47" s="49"/>
      <c r="B47" s="161" t="s">
        <v>31</v>
      </c>
      <c r="C47" s="161"/>
      <c r="D47" s="161"/>
      <c r="E47" s="161"/>
      <c r="F47" s="161"/>
      <c r="G47" s="161"/>
      <c r="H47" s="161"/>
      <c r="I47" s="161"/>
      <c r="J47" s="161"/>
      <c r="K47" s="161"/>
      <c r="L47" s="161"/>
      <c r="M47" s="161"/>
      <c r="N47" s="161"/>
      <c r="O47" s="161"/>
      <c r="P47" s="161"/>
      <c r="Q47" s="162"/>
      <c r="R47" s="206" t="s">
        <v>88</v>
      </c>
      <c r="S47" s="206"/>
      <c r="T47" s="206"/>
      <c r="U47" s="206"/>
      <c r="V47" s="206"/>
      <c r="W47" s="206"/>
      <c r="X47" s="206"/>
      <c r="Y47" s="206"/>
      <c r="Z47" s="206"/>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6"/>
      <c r="AW47" s="206"/>
      <c r="AX47" s="206"/>
      <c r="AY47" s="206"/>
      <c r="AZ47" s="206"/>
      <c r="BA47" s="206"/>
      <c r="BB47" s="206"/>
      <c r="BC47" s="206"/>
      <c r="BD47" s="206"/>
      <c r="BE47" s="206"/>
      <c r="BF47" s="37"/>
    </row>
    <row r="48" spans="1:58" ht="24" customHeight="1" x14ac:dyDescent="0.45">
      <c r="A48" s="49"/>
      <c r="B48" s="161"/>
      <c r="C48" s="161"/>
      <c r="D48" s="161"/>
      <c r="E48" s="161"/>
      <c r="F48" s="161"/>
      <c r="G48" s="161"/>
      <c r="H48" s="161"/>
      <c r="I48" s="161"/>
      <c r="J48" s="161"/>
      <c r="K48" s="161"/>
      <c r="L48" s="161"/>
      <c r="M48" s="161"/>
      <c r="N48" s="161"/>
      <c r="O48" s="161"/>
      <c r="P48" s="161"/>
      <c r="Q48" s="162"/>
      <c r="R48" s="206" t="s">
        <v>89</v>
      </c>
      <c r="S48" s="206"/>
      <c r="T48" s="206"/>
      <c r="U48" s="206"/>
      <c r="V48" s="206"/>
      <c r="W48" s="206"/>
      <c r="X48" s="206"/>
      <c r="Y48" s="206"/>
      <c r="Z48" s="206"/>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6"/>
      <c r="AX48" s="206"/>
      <c r="AY48" s="206"/>
      <c r="AZ48" s="206"/>
      <c r="BA48" s="206"/>
      <c r="BB48" s="206"/>
      <c r="BC48" s="206"/>
      <c r="BD48" s="206"/>
      <c r="BE48" s="206"/>
      <c r="BF48" s="37"/>
    </row>
    <row r="49" spans="1:58" ht="24" customHeight="1" x14ac:dyDescent="0.45">
      <c r="A49" s="49"/>
      <c r="B49" s="161"/>
      <c r="C49" s="161"/>
      <c r="D49" s="161"/>
      <c r="E49" s="161"/>
      <c r="F49" s="161"/>
      <c r="G49" s="161"/>
      <c r="H49" s="161"/>
      <c r="I49" s="161"/>
      <c r="J49" s="161"/>
      <c r="K49" s="161"/>
      <c r="L49" s="161"/>
      <c r="M49" s="161"/>
      <c r="N49" s="161"/>
      <c r="O49" s="161"/>
      <c r="P49" s="161"/>
      <c r="Q49" s="162"/>
      <c r="R49" s="206" t="s">
        <v>90</v>
      </c>
      <c r="S49" s="206"/>
      <c r="T49" s="206"/>
      <c r="U49" s="206"/>
      <c r="V49" s="206"/>
      <c r="W49" s="206"/>
      <c r="X49" s="206"/>
      <c r="Y49" s="206"/>
      <c r="Z49" s="206"/>
      <c r="AA49" s="206"/>
      <c r="AB49" s="206"/>
      <c r="AC49" s="206"/>
      <c r="AD49" s="206"/>
      <c r="AE49" s="206"/>
      <c r="AF49" s="206"/>
      <c r="AG49" s="206"/>
      <c r="AH49" s="206"/>
      <c r="AI49" s="206"/>
      <c r="AJ49" s="206"/>
      <c r="AK49" s="206"/>
      <c r="AL49" s="206"/>
      <c r="AM49" s="206"/>
      <c r="AN49" s="206"/>
      <c r="AO49" s="206"/>
      <c r="AP49" s="206"/>
      <c r="AQ49" s="206"/>
      <c r="AR49" s="206"/>
      <c r="AS49" s="206"/>
      <c r="AT49" s="206"/>
      <c r="AU49" s="206"/>
      <c r="AV49" s="206"/>
      <c r="AW49" s="206"/>
      <c r="AX49" s="206"/>
      <c r="AY49" s="206"/>
      <c r="AZ49" s="206"/>
      <c r="BA49" s="206"/>
      <c r="BB49" s="206"/>
      <c r="BC49" s="206"/>
      <c r="BD49" s="206"/>
      <c r="BE49" s="206"/>
      <c r="BF49" s="37"/>
    </row>
    <row r="50" spans="1:58" ht="30" customHeight="1" x14ac:dyDescent="0.45">
      <c r="A50" s="73"/>
      <c r="B50" s="207" t="s">
        <v>147</v>
      </c>
      <c r="C50" s="207"/>
      <c r="D50" s="207"/>
      <c r="E50" s="207"/>
      <c r="F50" s="207"/>
      <c r="G50" s="207"/>
      <c r="H50" s="207"/>
      <c r="I50" s="207"/>
      <c r="J50" s="207"/>
      <c r="K50" s="207"/>
      <c r="L50" s="207"/>
      <c r="M50" s="207"/>
      <c r="N50" s="207"/>
      <c r="O50" s="207"/>
      <c r="P50" s="207"/>
      <c r="Q50" s="208"/>
      <c r="R50" s="211" t="s">
        <v>160</v>
      </c>
      <c r="S50" s="211"/>
      <c r="T50" s="211"/>
      <c r="U50" s="211"/>
      <c r="V50" s="211"/>
      <c r="W50" s="211"/>
      <c r="X50" s="211"/>
      <c r="Y50" s="211"/>
      <c r="Z50" s="211"/>
      <c r="AA50" s="211"/>
      <c r="AB50" s="211"/>
      <c r="AC50" s="211"/>
      <c r="AD50" s="211"/>
      <c r="AE50" s="211"/>
      <c r="AF50" s="211"/>
      <c r="AG50" s="211"/>
      <c r="AH50" s="211"/>
      <c r="AI50" s="211"/>
      <c r="AJ50" s="211"/>
      <c r="AK50" s="211"/>
      <c r="AL50" s="211"/>
      <c r="AM50" s="211"/>
      <c r="AN50" s="211"/>
      <c r="AO50" s="211"/>
      <c r="AP50" s="211"/>
      <c r="AQ50" s="211"/>
      <c r="AR50" s="211"/>
      <c r="AS50" s="211"/>
      <c r="AT50" s="211"/>
      <c r="AU50" s="211"/>
      <c r="AV50" s="211"/>
      <c r="AW50" s="211"/>
      <c r="AX50" s="211"/>
      <c r="AY50" s="211"/>
      <c r="AZ50" s="211"/>
      <c r="BA50" s="211"/>
      <c r="BB50" s="211"/>
      <c r="BC50" s="211"/>
      <c r="BD50" s="211"/>
      <c r="BE50" s="211"/>
      <c r="BF50" s="93"/>
    </row>
    <row r="51" spans="1:58" ht="16.5" customHeight="1" x14ac:dyDescent="0.45">
      <c r="B51" s="207"/>
      <c r="C51" s="207"/>
      <c r="D51" s="207"/>
      <c r="E51" s="207"/>
      <c r="F51" s="207"/>
      <c r="G51" s="207"/>
      <c r="H51" s="207"/>
      <c r="I51" s="207"/>
      <c r="J51" s="207"/>
      <c r="K51" s="207"/>
      <c r="L51" s="207"/>
      <c r="M51" s="207"/>
      <c r="N51" s="207"/>
      <c r="O51" s="207"/>
      <c r="P51" s="207"/>
      <c r="Q51" s="208"/>
      <c r="R51" s="211" t="s">
        <v>161</v>
      </c>
      <c r="S51" s="211"/>
      <c r="T51" s="211"/>
      <c r="U51" s="211"/>
      <c r="V51" s="211"/>
      <c r="W51" s="211"/>
      <c r="X51" s="211"/>
      <c r="Y51" s="211"/>
      <c r="Z51" s="211"/>
      <c r="AA51" s="211"/>
      <c r="AB51" s="211"/>
      <c r="AC51" s="211"/>
      <c r="AD51" s="211"/>
      <c r="AE51" s="211"/>
      <c r="AF51" s="211"/>
      <c r="AG51" s="211"/>
      <c r="AH51" s="211"/>
      <c r="AI51" s="211"/>
      <c r="AJ51" s="211"/>
      <c r="AK51" s="211"/>
      <c r="AL51" s="211"/>
      <c r="AM51" s="211"/>
      <c r="AN51" s="211"/>
      <c r="AO51" s="211"/>
      <c r="AP51" s="211"/>
      <c r="AQ51" s="211"/>
      <c r="AR51" s="211"/>
      <c r="AS51" s="211"/>
      <c r="AT51" s="211"/>
      <c r="AU51" s="211"/>
      <c r="AV51" s="211"/>
      <c r="AW51" s="211"/>
      <c r="AX51" s="211"/>
      <c r="AY51" s="211"/>
      <c r="AZ51" s="211"/>
      <c r="BA51" s="211"/>
      <c r="BB51" s="211"/>
      <c r="BC51" s="211"/>
      <c r="BD51" s="211"/>
      <c r="BE51" s="211"/>
    </row>
    <row r="52" spans="1:58" ht="16.5" customHeight="1" thickBot="1" x14ac:dyDescent="0.5">
      <c r="B52" s="209"/>
      <c r="C52" s="209"/>
      <c r="D52" s="209"/>
      <c r="E52" s="209"/>
      <c r="F52" s="209"/>
      <c r="G52" s="209"/>
      <c r="H52" s="209"/>
      <c r="I52" s="209"/>
      <c r="J52" s="209"/>
      <c r="K52" s="209"/>
      <c r="L52" s="209"/>
      <c r="M52" s="209"/>
      <c r="N52" s="209"/>
      <c r="O52" s="209"/>
      <c r="P52" s="209"/>
      <c r="Q52" s="210"/>
      <c r="R52" s="211" t="s">
        <v>162</v>
      </c>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row>
    <row r="53" spans="1:58" ht="41" customHeight="1" x14ac:dyDescent="0.45">
      <c r="B53" s="179" t="s">
        <v>151</v>
      </c>
      <c r="C53" s="180"/>
      <c r="D53" s="180"/>
      <c r="E53" s="180"/>
      <c r="F53" s="180"/>
      <c r="G53" s="180"/>
      <c r="H53" s="180"/>
      <c r="I53" s="180"/>
      <c r="J53" s="180"/>
      <c r="K53" s="180"/>
      <c r="L53" s="180"/>
      <c r="M53" s="180"/>
      <c r="N53" s="180"/>
      <c r="O53" s="180"/>
      <c r="P53" s="180"/>
      <c r="Q53" s="181"/>
      <c r="R53" s="212" t="s">
        <v>163</v>
      </c>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3"/>
      <c r="BC53" s="213"/>
      <c r="BD53" s="213"/>
      <c r="BE53" s="213"/>
    </row>
    <row r="54" spans="1:58" ht="40.5" customHeight="1" x14ac:dyDescent="0.45">
      <c r="B54" s="214"/>
      <c r="C54" s="215"/>
      <c r="D54" s="215"/>
      <c r="E54" s="215"/>
      <c r="F54" s="215"/>
      <c r="G54" s="215"/>
      <c r="H54" s="215"/>
      <c r="I54" s="215"/>
      <c r="J54" s="215"/>
      <c r="K54" s="215"/>
      <c r="L54" s="215"/>
      <c r="M54" s="215"/>
      <c r="N54" s="215"/>
      <c r="O54" s="215"/>
      <c r="P54" s="215"/>
      <c r="Q54" s="216"/>
      <c r="R54" s="212" t="s">
        <v>164</v>
      </c>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row>
    <row r="55" spans="1:58" ht="39.5" customHeight="1" x14ac:dyDescent="0.45">
      <c r="B55" s="214"/>
      <c r="C55" s="215"/>
      <c r="D55" s="215"/>
      <c r="E55" s="215"/>
      <c r="F55" s="215"/>
      <c r="G55" s="215"/>
      <c r="H55" s="215"/>
      <c r="I55" s="215"/>
      <c r="J55" s="215"/>
      <c r="K55" s="215"/>
      <c r="L55" s="215"/>
      <c r="M55" s="215"/>
      <c r="N55" s="215"/>
      <c r="O55" s="215"/>
      <c r="P55" s="215"/>
      <c r="Q55" s="216"/>
      <c r="R55" s="212" t="s">
        <v>165</v>
      </c>
      <c r="S55" s="213"/>
      <c r="T55" s="213"/>
      <c r="U55" s="213"/>
      <c r="V55" s="213"/>
      <c r="W55" s="213"/>
      <c r="X55" s="213"/>
      <c r="Y55" s="213"/>
      <c r="Z55" s="213"/>
      <c r="AA55" s="213"/>
      <c r="AB55" s="213"/>
      <c r="AC55" s="213"/>
      <c r="AD55" s="213"/>
      <c r="AE55" s="213"/>
      <c r="AF55" s="213"/>
      <c r="AG55" s="213"/>
      <c r="AH55" s="213"/>
      <c r="AI55" s="213"/>
      <c r="AJ55" s="213"/>
      <c r="AK55" s="213"/>
      <c r="AL55" s="213"/>
      <c r="AM55" s="213"/>
      <c r="AN55" s="213"/>
      <c r="AO55" s="213"/>
      <c r="AP55" s="213"/>
      <c r="AQ55" s="213"/>
      <c r="AR55" s="213"/>
      <c r="AS55" s="213"/>
      <c r="AT55" s="213"/>
      <c r="AU55" s="213"/>
      <c r="AV55" s="213"/>
      <c r="AW55" s="213"/>
      <c r="AX55" s="213"/>
      <c r="AY55" s="213"/>
      <c r="AZ55" s="213"/>
      <c r="BA55" s="213"/>
      <c r="BB55" s="213"/>
      <c r="BC55" s="213"/>
      <c r="BD55" s="213"/>
      <c r="BE55" s="213"/>
    </row>
    <row r="56" spans="1:58" ht="57" customHeight="1" thickBot="1" x14ac:dyDescent="0.5">
      <c r="B56" s="203"/>
      <c r="C56" s="204"/>
      <c r="D56" s="204"/>
      <c r="E56" s="204"/>
      <c r="F56" s="204"/>
      <c r="G56" s="204"/>
      <c r="H56" s="204"/>
      <c r="I56" s="204"/>
      <c r="J56" s="204"/>
      <c r="K56" s="204"/>
      <c r="L56" s="204"/>
      <c r="M56" s="204"/>
      <c r="N56" s="204"/>
      <c r="O56" s="204"/>
      <c r="P56" s="204"/>
      <c r="Q56" s="205"/>
      <c r="R56" s="212" t="s">
        <v>166</v>
      </c>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213"/>
      <c r="AZ56" s="213"/>
      <c r="BA56" s="213"/>
      <c r="BB56" s="213"/>
      <c r="BC56" s="213"/>
      <c r="BD56" s="213"/>
      <c r="BE56" s="213"/>
    </row>
  </sheetData>
  <mergeCells count="43">
    <mergeCell ref="R53:BE53"/>
    <mergeCell ref="R54:BE54"/>
    <mergeCell ref="R55:BE55"/>
    <mergeCell ref="B53:Q56"/>
    <mergeCell ref="R56:BE56"/>
    <mergeCell ref="R46:BE46"/>
    <mergeCell ref="R47:BE47"/>
    <mergeCell ref="R48:BE48"/>
    <mergeCell ref="R49:BE49"/>
    <mergeCell ref="B50:Q52"/>
    <mergeCell ref="R50:BE50"/>
    <mergeCell ref="R51:BE51"/>
    <mergeCell ref="R52:BE52"/>
    <mergeCell ref="R44:BE44"/>
    <mergeCell ref="R45:BE45"/>
    <mergeCell ref="C12:F13"/>
    <mergeCell ref="W42:AA42"/>
    <mergeCell ref="X12:AG13"/>
    <mergeCell ref="AH12:AP13"/>
    <mergeCell ref="AQ12:AX13"/>
    <mergeCell ref="W37:AA37"/>
    <mergeCell ref="W38:AA38"/>
    <mergeCell ref="W41:AA41"/>
    <mergeCell ref="W40:AA40"/>
    <mergeCell ref="W39:AA39"/>
    <mergeCell ref="G12:I13"/>
    <mergeCell ref="J12:M13"/>
    <mergeCell ref="AY12:BB13"/>
    <mergeCell ref="B2:BF2"/>
    <mergeCell ref="R41:V41"/>
    <mergeCell ref="B47:Q49"/>
    <mergeCell ref="N12:W13"/>
    <mergeCell ref="B11:BB11"/>
    <mergeCell ref="B12:B14"/>
    <mergeCell ref="B43:Q46"/>
    <mergeCell ref="B37:Q42"/>
    <mergeCell ref="R37:V37"/>
    <mergeCell ref="R38:V38"/>
    <mergeCell ref="R39:V39"/>
    <mergeCell ref="R40:V40"/>
    <mergeCell ref="R42:V42"/>
    <mergeCell ref="BC12:BE13"/>
    <mergeCell ref="R43:BE43"/>
  </mergeCells>
  <phoneticPr fontId="21" type="noConversion"/>
  <pageMargins left="0.25" right="0.17" top="0.75" bottom="0.7" header="0.3" footer="0.3"/>
  <pageSetup scale="1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429"/>
  <sheetViews>
    <sheetView tabSelected="1" workbookViewId="0">
      <selection activeCell="G5" sqref="G5:G49"/>
    </sheetView>
  </sheetViews>
  <sheetFormatPr baseColWidth="10" defaultColWidth="11.453125" defaultRowHeight="13" x14ac:dyDescent="0.35"/>
  <cols>
    <col min="1" max="2" width="11.453125" style="24"/>
    <col min="3" max="3" width="16" style="24" customWidth="1"/>
    <col min="4" max="4" width="11.453125" style="24"/>
    <col min="5" max="5" width="16.26953125" style="24" customWidth="1"/>
    <col min="6" max="6" width="13.7265625" style="24" customWidth="1"/>
    <col min="7" max="7" width="17.08984375" style="24" customWidth="1"/>
    <col min="8" max="12" width="11.453125" style="24"/>
    <col min="13" max="13" width="13.26953125" style="24" bestFit="1" customWidth="1"/>
    <col min="14" max="14" width="13.26953125" style="24" customWidth="1"/>
    <col min="15" max="15" width="13.26953125" style="127" customWidth="1"/>
    <col min="16" max="16" width="21.1796875" style="24" customWidth="1"/>
    <col min="17" max="18" width="12.7265625" style="24" customWidth="1"/>
    <col min="19" max="19" width="13.81640625" style="24" customWidth="1"/>
    <col min="20" max="20" width="12.7265625" style="24" customWidth="1"/>
    <col min="21" max="43" width="11.54296875" style="24" bestFit="1" customWidth="1"/>
    <col min="44" max="44" width="14.1796875" style="24" customWidth="1"/>
    <col min="45" max="52" width="11.54296875" style="24" bestFit="1" customWidth="1"/>
    <col min="53" max="53" width="13.1796875" style="24" customWidth="1"/>
    <col min="54" max="62" width="11.54296875" style="24" bestFit="1" customWidth="1"/>
    <col min="63" max="63" width="11.54296875" style="24" customWidth="1"/>
    <col min="64" max="65" width="11.54296875" style="24" bestFit="1" customWidth="1"/>
    <col min="66" max="70" width="11.54296875" style="24" customWidth="1"/>
    <col min="71" max="73" width="11.54296875" style="24" bestFit="1" customWidth="1"/>
    <col min="74" max="74" width="11.54296875" style="24" customWidth="1"/>
    <col min="75" max="81" width="11.54296875" style="24" bestFit="1" customWidth="1"/>
    <col min="82" max="82" width="45.54296875" style="24" customWidth="1"/>
    <col min="83" max="16384" width="11.453125" style="24"/>
  </cols>
  <sheetData>
    <row r="1" spans="1:85" s="3" customFormat="1" ht="14.25" customHeight="1" x14ac:dyDescent="0.35">
      <c r="B1" s="24"/>
      <c r="C1" s="24"/>
      <c r="D1" s="24"/>
      <c r="E1" s="24"/>
      <c r="F1" s="24"/>
      <c r="G1" s="24"/>
      <c r="H1" s="24"/>
      <c r="I1" s="24"/>
      <c r="J1" s="24"/>
      <c r="K1" s="24"/>
      <c r="L1" s="24"/>
      <c r="M1" s="24"/>
      <c r="N1" s="24"/>
      <c r="O1" s="127"/>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
      <c r="CF1" s="2"/>
      <c r="CG1" s="2"/>
    </row>
    <row r="2" spans="1:85" s="3" customFormat="1" ht="36" customHeight="1" x14ac:dyDescent="0.35">
      <c r="B2" s="1"/>
      <c r="C2" s="1"/>
      <c r="D2" s="1"/>
      <c r="E2" s="1"/>
      <c r="F2" s="1"/>
      <c r="G2" s="1"/>
      <c r="H2" s="1"/>
      <c r="I2" s="1"/>
      <c r="J2" s="1"/>
      <c r="K2" s="1"/>
      <c r="L2" s="1"/>
      <c r="M2" s="4"/>
      <c r="N2" s="4"/>
      <c r="O2" s="128"/>
      <c r="P2" s="32" t="s">
        <v>0</v>
      </c>
      <c r="Q2" s="233" t="s">
        <v>1</v>
      </c>
      <c r="R2" s="234"/>
      <c r="S2" s="234"/>
      <c r="T2" s="235"/>
      <c r="U2" s="236" t="s">
        <v>2</v>
      </c>
      <c r="V2" s="234"/>
      <c r="W2" s="234"/>
      <c r="X2" s="234"/>
      <c r="Y2" s="235"/>
      <c r="Z2" s="237" t="s">
        <v>70</v>
      </c>
      <c r="AA2" s="238"/>
      <c r="AB2" s="238"/>
      <c r="AC2" s="238"/>
      <c r="AD2" s="238"/>
      <c r="AE2" s="238"/>
      <c r="AF2" s="238"/>
      <c r="AG2" s="238"/>
      <c r="AH2" s="238"/>
      <c r="AI2" s="239"/>
      <c r="AJ2" s="225" t="s">
        <v>62</v>
      </c>
      <c r="AK2" s="226"/>
      <c r="AL2" s="226"/>
      <c r="AM2" s="226"/>
      <c r="AN2" s="226"/>
      <c r="AO2" s="226"/>
      <c r="AP2" s="226"/>
      <c r="AQ2" s="226"/>
      <c r="AR2" s="226"/>
      <c r="AS2" s="227"/>
      <c r="AT2" s="228" t="s">
        <v>61</v>
      </c>
      <c r="AU2" s="229"/>
      <c r="AV2" s="229"/>
      <c r="AW2" s="229"/>
      <c r="AX2" s="229"/>
      <c r="AY2" s="229"/>
      <c r="AZ2" s="229"/>
      <c r="BA2" s="229"/>
      <c r="BB2" s="229"/>
      <c r="BC2" s="230" t="s">
        <v>64</v>
      </c>
      <c r="BD2" s="230"/>
      <c r="BE2" s="230"/>
      <c r="BF2" s="230"/>
      <c r="BG2" s="230"/>
      <c r="BH2" s="230"/>
      <c r="BI2" s="230"/>
      <c r="BJ2" s="230"/>
      <c r="BK2" s="230"/>
      <c r="BL2" s="230"/>
      <c r="BM2" s="5"/>
      <c r="BN2" s="25"/>
      <c r="BO2" s="25"/>
      <c r="BP2" s="25"/>
      <c r="BQ2" s="25"/>
      <c r="BR2" s="25"/>
      <c r="BS2" s="5"/>
      <c r="BT2" s="30"/>
      <c r="BU2" s="31"/>
      <c r="BV2" s="31"/>
      <c r="BW2" s="231" t="s">
        <v>3</v>
      </c>
      <c r="BX2" s="232"/>
      <c r="BY2" s="232"/>
      <c r="BZ2" s="232"/>
      <c r="CA2" s="232"/>
      <c r="CB2" s="6"/>
      <c r="CC2" s="6"/>
      <c r="CD2" s="7"/>
      <c r="CE2" s="6"/>
      <c r="CF2" s="6"/>
      <c r="CG2" s="6"/>
    </row>
    <row r="3" spans="1:85" s="3" customFormat="1" ht="86.25" customHeight="1" x14ac:dyDescent="0.35">
      <c r="A3" s="33" t="s">
        <v>174</v>
      </c>
      <c r="B3" s="8" t="s">
        <v>176</v>
      </c>
      <c r="C3" s="33" t="s">
        <v>177</v>
      </c>
      <c r="D3" s="8" t="s">
        <v>4</v>
      </c>
      <c r="E3" s="8" t="s">
        <v>5</v>
      </c>
      <c r="F3" s="33" t="s">
        <v>169</v>
      </c>
      <c r="G3" s="33" t="s">
        <v>170</v>
      </c>
      <c r="H3" s="33" t="s">
        <v>171</v>
      </c>
      <c r="I3" s="33" t="s">
        <v>172</v>
      </c>
      <c r="J3" s="33" t="s">
        <v>173</v>
      </c>
      <c r="K3" s="33" t="s">
        <v>178</v>
      </c>
      <c r="L3" s="33" t="s">
        <v>179</v>
      </c>
      <c r="M3" s="8" t="s">
        <v>6</v>
      </c>
      <c r="N3" s="129" t="s">
        <v>167</v>
      </c>
      <c r="O3" s="129" t="s">
        <v>168</v>
      </c>
      <c r="P3" s="9" t="s">
        <v>138</v>
      </c>
      <c r="Q3" s="10" t="s">
        <v>81</v>
      </c>
      <c r="R3" s="11" t="s">
        <v>7</v>
      </c>
      <c r="S3" s="11" t="s">
        <v>139</v>
      </c>
      <c r="T3" s="12" t="s">
        <v>80</v>
      </c>
      <c r="U3" s="10" t="s">
        <v>8</v>
      </c>
      <c r="V3" s="11" t="s">
        <v>9</v>
      </c>
      <c r="W3" s="11" t="s">
        <v>10</v>
      </c>
      <c r="X3" s="11" t="s">
        <v>11</v>
      </c>
      <c r="Y3" s="13" t="s">
        <v>12</v>
      </c>
      <c r="Z3" s="10" t="s">
        <v>13</v>
      </c>
      <c r="AA3" s="11" t="s">
        <v>14</v>
      </c>
      <c r="AB3" s="11" t="s">
        <v>15</v>
      </c>
      <c r="AC3" s="11" t="s">
        <v>69</v>
      </c>
      <c r="AD3" s="11" t="s">
        <v>16</v>
      </c>
      <c r="AE3" s="11" t="s">
        <v>17</v>
      </c>
      <c r="AF3" s="11" t="s">
        <v>18</v>
      </c>
      <c r="AG3" s="11" t="s">
        <v>68</v>
      </c>
      <c r="AH3" s="11" t="s">
        <v>19</v>
      </c>
      <c r="AI3" s="14" t="s">
        <v>20</v>
      </c>
      <c r="AJ3" s="10" t="s">
        <v>13</v>
      </c>
      <c r="AK3" s="11" t="s">
        <v>14</v>
      </c>
      <c r="AL3" s="11" t="s">
        <v>15</v>
      </c>
      <c r="AM3" s="11" t="s">
        <v>69</v>
      </c>
      <c r="AN3" s="11" t="s">
        <v>16</v>
      </c>
      <c r="AO3" s="11" t="s">
        <v>17</v>
      </c>
      <c r="AP3" s="11" t="s">
        <v>18</v>
      </c>
      <c r="AQ3" s="11" t="s">
        <v>68</v>
      </c>
      <c r="AR3" s="11" t="s">
        <v>19</v>
      </c>
      <c r="AS3" s="15" t="s">
        <v>21</v>
      </c>
      <c r="AT3" s="10" t="s">
        <v>13</v>
      </c>
      <c r="AU3" s="11" t="s">
        <v>14</v>
      </c>
      <c r="AV3" s="11" t="s">
        <v>15</v>
      </c>
      <c r="AW3" s="11" t="s">
        <v>69</v>
      </c>
      <c r="AX3" s="11" t="s">
        <v>16</v>
      </c>
      <c r="AY3" s="11" t="s">
        <v>17</v>
      </c>
      <c r="AZ3" s="11" t="s">
        <v>18</v>
      </c>
      <c r="BA3" s="11" t="s">
        <v>19</v>
      </c>
      <c r="BB3" s="15" t="s">
        <v>20</v>
      </c>
      <c r="BC3" s="26" t="s">
        <v>13</v>
      </c>
      <c r="BD3" s="26" t="s">
        <v>14</v>
      </c>
      <c r="BE3" s="26" t="s">
        <v>15</v>
      </c>
      <c r="BF3" s="26" t="s">
        <v>69</v>
      </c>
      <c r="BG3" s="26" t="s">
        <v>16</v>
      </c>
      <c r="BH3" s="26" t="s">
        <v>17</v>
      </c>
      <c r="BI3" s="26" t="s">
        <v>18</v>
      </c>
      <c r="BJ3" s="27" t="s">
        <v>20</v>
      </c>
      <c r="BK3" s="111" t="s">
        <v>71</v>
      </c>
      <c r="BL3" s="111" t="s">
        <v>72</v>
      </c>
      <c r="BM3" s="28" t="s">
        <v>24</v>
      </c>
      <c r="BN3" s="28" t="s">
        <v>25</v>
      </c>
      <c r="BO3" s="28" t="s">
        <v>22</v>
      </c>
      <c r="BP3" s="28" t="s">
        <v>23</v>
      </c>
      <c r="BQ3" s="28" t="s">
        <v>75</v>
      </c>
      <c r="BR3" s="28" t="s">
        <v>76</v>
      </c>
      <c r="BS3" s="28" t="s">
        <v>77</v>
      </c>
      <c r="BT3" s="28" t="s">
        <v>78</v>
      </c>
      <c r="BU3" s="28" t="s">
        <v>79</v>
      </c>
      <c r="BV3" s="28" t="s">
        <v>141</v>
      </c>
      <c r="BW3" s="16" t="s">
        <v>26</v>
      </c>
      <c r="BX3" s="16" t="s">
        <v>11</v>
      </c>
      <c r="BY3" s="16" t="s">
        <v>27</v>
      </c>
      <c r="BZ3" s="16" t="s">
        <v>28</v>
      </c>
      <c r="CA3" s="17" t="s">
        <v>20</v>
      </c>
      <c r="CB3" s="18" t="s">
        <v>29</v>
      </c>
      <c r="CC3" s="19" t="s">
        <v>30</v>
      </c>
      <c r="CD3" s="29" t="s">
        <v>140</v>
      </c>
      <c r="CE3" s="6"/>
      <c r="CF3" s="6"/>
      <c r="CG3" s="6"/>
    </row>
    <row r="4" spans="1:85" s="21" customFormat="1" x14ac:dyDescent="0.35">
      <c r="A4" s="33"/>
      <c r="B4" s="223"/>
      <c r="C4" s="223"/>
      <c r="D4" s="224"/>
      <c r="E4" s="224"/>
      <c r="F4" s="224"/>
      <c r="G4" s="224"/>
      <c r="H4" s="224"/>
      <c r="I4" s="224"/>
      <c r="J4" s="224"/>
      <c r="K4" s="224"/>
      <c r="L4" s="224"/>
      <c r="M4" s="224"/>
      <c r="N4" s="131"/>
      <c r="O4" s="137"/>
      <c r="P4" s="138">
        <f t="shared" ref="P4:X4" si="0">SUM(P5:P1010)</f>
        <v>36</v>
      </c>
      <c r="Q4" s="138">
        <f t="shared" si="0"/>
        <v>36</v>
      </c>
      <c r="R4" s="138">
        <f t="shared" si="0"/>
        <v>101</v>
      </c>
      <c r="S4" s="139">
        <f t="shared" si="0"/>
        <v>0</v>
      </c>
      <c r="T4" s="138">
        <f t="shared" si="0"/>
        <v>35</v>
      </c>
      <c r="U4" s="138">
        <f t="shared" si="0"/>
        <v>199</v>
      </c>
      <c r="V4" s="139">
        <f t="shared" si="0"/>
        <v>0</v>
      </c>
      <c r="W4" s="139">
        <f t="shared" si="0"/>
        <v>1</v>
      </c>
      <c r="X4" s="139">
        <f t="shared" si="0"/>
        <v>0</v>
      </c>
      <c r="Y4" s="138">
        <f t="shared" ref="Y4:Y29" si="1">SUM(U4:X4)</f>
        <v>200</v>
      </c>
      <c r="Z4" s="139">
        <f t="shared" ref="Z4:AH4" si="2">SUM(Z5:Z1010)</f>
        <v>9</v>
      </c>
      <c r="AA4" s="139">
        <f t="shared" si="2"/>
        <v>54</v>
      </c>
      <c r="AB4" s="139">
        <f t="shared" si="2"/>
        <v>173</v>
      </c>
      <c r="AC4" s="139">
        <f t="shared" si="2"/>
        <v>231</v>
      </c>
      <c r="AD4" s="139">
        <f t="shared" si="2"/>
        <v>310</v>
      </c>
      <c r="AE4" s="139">
        <f t="shared" si="2"/>
        <v>359</v>
      </c>
      <c r="AF4" s="139">
        <f t="shared" si="2"/>
        <v>258</v>
      </c>
      <c r="AG4" s="139">
        <f t="shared" si="2"/>
        <v>43</v>
      </c>
      <c r="AH4" s="139">
        <f t="shared" si="2"/>
        <v>1</v>
      </c>
      <c r="AI4" s="139">
        <f t="shared" ref="AI4:AI29" si="3">SUM(Z4:AH4)</f>
        <v>1438</v>
      </c>
      <c r="AJ4" s="139">
        <f t="shared" ref="AJ4:AR4" si="4">SUM(AJ5:AJ1010)</f>
        <v>0</v>
      </c>
      <c r="AK4" s="139">
        <f t="shared" si="4"/>
        <v>17</v>
      </c>
      <c r="AL4" s="139">
        <f t="shared" si="4"/>
        <v>19</v>
      </c>
      <c r="AM4" s="139">
        <f t="shared" si="4"/>
        <v>28</v>
      </c>
      <c r="AN4" s="139">
        <f t="shared" si="4"/>
        <v>45</v>
      </c>
      <c r="AO4" s="139">
        <f t="shared" si="4"/>
        <v>50</v>
      </c>
      <c r="AP4" s="139">
        <f t="shared" si="4"/>
        <v>41</v>
      </c>
      <c r="AQ4" s="139">
        <f t="shared" si="4"/>
        <v>0</v>
      </c>
      <c r="AR4" s="139">
        <f t="shared" si="4"/>
        <v>0</v>
      </c>
      <c r="AS4" s="139">
        <f t="shared" ref="AS4:AS29" si="5">SUM(AJ4:AR4)</f>
        <v>200</v>
      </c>
      <c r="AT4" s="139">
        <f t="shared" ref="AT4:BA4" si="6">SUM(AT5:AT1010)</f>
        <v>9</v>
      </c>
      <c r="AU4" s="139">
        <f t="shared" si="6"/>
        <v>47</v>
      </c>
      <c r="AV4" s="139">
        <f t="shared" si="6"/>
        <v>157</v>
      </c>
      <c r="AW4" s="139">
        <f t="shared" si="6"/>
        <v>205</v>
      </c>
      <c r="AX4" s="139">
        <f t="shared" si="6"/>
        <v>279</v>
      </c>
      <c r="AY4" s="139">
        <f t="shared" si="6"/>
        <v>314</v>
      </c>
      <c r="AZ4" s="139">
        <f t="shared" si="6"/>
        <v>232</v>
      </c>
      <c r="BA4" s="139">
        <f t="shared" si="6"/>
        <v>0</v>
      </c>
      <c r="BB4" s="139">
        <f>SUM(AT4:BA4)</f>
        <v>1243</v>
      </c>
      <c r="BC4" s="139">
        <f t="shared" ref="BC4:BI4" si="7">SUM(BC5:BC1010)</f>
        <v>9</v>
      </c>
      <c r="BD4" s="139">
        <f t="shared" si="7"/>
        <v>47</v>
      </c>
      <c r="BE4" s="139">
        <f t="shared" si="7"/>
        <v>156</v>
      </c>
      <c r="BF4" s="139">
        <f t="shared" si="7"/>
        <v>202</v>
      </c>
      <c r="BG4" s="139">
        <f t="shared" si="7"/>
        <v>283</v>
      </c>
      <c r="BH4" s="139">
        <f t="shared" si="7"/>
        <v>318</v>
      </c>
      <c r="BI4" s="139">
        <f t="shared" si="7"/>
        <v>248</v>
      </c>
      <c r="BJ4" s="139">
        <v>5132</v>
      </c>
      <c r="BK4" s="139">
        <f>SUM(BK5:BK1010)</f>
        <v>970</v>
      </c>
      <c r="BL4" s="139">
        <f>SUM(BL5:BL1010)</f>
        <v>4180</v>
      </c>
      <c r="BM4" s="139">
        <f t="shared" ref="BM4:CA4" si="8">SUM(BM5:BM240)</f>
        <v>0</v>
      </c>
      <c r="BN4" s="139">
        <f t="shared" si="8"/>
        <v>0</v>
      </c>
      <c r="BO4" s="139">
        <f t="shared" si="8"/>
        <v>1420</v>
      </c>
      <c r="BP4" s="139">
        <f t="shared" si="8"/>
        <v>173</v>
      </c>
      <c r="BQ4" s="139">
        <f t="shared" si="8"/>
        <v>0</v>
      </c>
      <c r="BR4" s="139">
        <f t="shared" si="8"/>
        <v>0</v>
      </c>
      <c r="BS4" s="139">
        <f t="shared" si="8"/>
        <v>0</v>
      </c>
      <c r="BT4" s="139">
        <f t="shared" si="8"/>
        <v>0</v>
      </c>
      <c r="BU4" s="139">
        <f t="shared" si="8"/>
        <v>0</v>
      </c>
      <c r="BV4" s="139">
        <f t="shared" si="8"/>
        <v>0</v>
      </c>
      <c r="BW4" s="139">
        <f t="shared" si="8"/>
        <v>9</v>
      </c>
      <c r="BX4" s="139">
        <f t="shared" si="8"/>
        <v>0</v>
      </c>
      <c r="BY4" s="139">
        <f t="shared" si="8"/>
        <v>1</v>
      </c>
      <c r="BZ4" s="139">
        <f t="shared" si="8"/>
        <v>0</v>
      </c>
      <c r="CA4" s="139">
        <f t="shared" si="8"/>
        <v>10</v>
      </c>
      <c r="CB4" s="140" t="str">
        <f>IFERROR(((SUM(#REF!+AS4))/AI4)*100,"0")</f>
        <v>0</v>
      </c>
      <c r="CC4" s="140" t="str">
        <f>IFERROR(((SUM(#REF!+AS4+BL4))/AI4)*100,"0")</f>
        <v>0</v>
      </c>
      <c r="CD4" s="220" t="s">
        <v>207</v>
      </c>
      <c r="CE4" s="221"/>
      <c r="CF4" s="222"/>
      <c r="CG4" s="20"/>
    </row>
    <row r="5" spans="1:85" s="23" customFormat="1" x14ac:dyDescent="0.35">
      <c r="A5" s="133" t="s">
        <v>175</v>
      </c>
      <c r="B5" s="22">
        <v>1</v>
      </c>
      <c r="C5" s="22"/>
      <c r="D5" s="23" t="s">
        <v>209</v>
      </c>
      <c r="E5" s="134" t="s">
        <v>180</v>
      </c>
      <c r="F5" s="134" t="s">
        <v>180</v>
      </c>
      <c r="G5" s="134" t="s">
        <v>180</v>
      </c>
      <c r="H5" s="22"/>
      <c r="I5" s="22"/>
      <c r="J5" s="22"/>
      <c r="K5" s="22"/>
      <c r="L5" s="22"/>
      <c r="M5" s="136" t="s">
        <v>205</v>
      </c>
      <c r="N5" s="130">
        <v>1</v>
      </c>
      <c r="O5" s="130">
        <v>3</v>
      </c>
      <c r="P5" s="134">
        <v>1</v>
      </c>
      <c r="Q5" s="134">
        <v>1</v>
      </c>
      <c r="R5" s="134">
        <v>3</v>
      </c>
      <c r="S5" s="134" t="s">
        <v>206</v>
      </c>
      <c r="T5" s="134">
        <v>1</v>
      </c>
      <c r="U5" s="134">
        <v>29</v>
      </c>
      <c r="V5" s="134">
        <v>0</v>
      </c>
      <c r="W5" s="134">
        <v>0</v>
      </c>
      <c r="X5" s="134">
        <v>0</v>
      </c>
      <c r="Y5" s="134">
        <f t="shared" si="1"/>
        <v>29</v>
      </c>
      <c r="Z5" s="134">
        <v>0</v>
      </c>
      <c r="AA5" s="134">
        <v>5</v>
      </c>
      <c r="AB5" s="134">
        <v>19</v>
      </c>
      <c r="AC5" s="134">
        <v>31</v>
      </c>
      <c r="AD5" s="134">
        <v>41</v>
      </c>
      <c r="AE5" s="134">
        <v>54</v>
      </c>
      <c r="AF5" s="134">
        <v>16</v>
      </c>
      <c r="AG5" s="134">
        <v>0</v>
      </c>
      <c r="AH5" s="134">
        <v>0</v>
      </c>
      <c r="AI5" s="134">
        <f t="shared" si="3"/>
        <v>166</v>
      </c>
      <c r="AJ5" s="134">
        <v>0</v>
      </c>
      <c r="AK5" s="134">
        <v>0</v>
      </c>
      <c r="AL5" s="134">
        <v>0</v>
      </c>
      <c r="AM5" s="134">
        <v>0</v>
      </c>
      <c r="AN5" s="134">
        <v>0</v>
      </c>
      <c r="AO5" s="134">
        <v>4</v>
      </c>
      <c r="AP5" s="134">
        <v>3</v>
      </c>
      <c r="AQ5" s="134">
        <v>0</v>
      </c>
      <c r="AR5" s="134">
        <v>0</v>
      </c>
      <c r="AS5" s="134">
        <f t="shared" si="5"/>
        <v>7</v>
      </c>
      <c r="AT5" s="134">
        <v>0</v>
      </c>
      <c r="AU5" s="134">
        <v>5</v>
      </c>
      <c r="AV5" s="134">
        <v>19</v>
      </c>
      <c r="AW5" s="134">
        <v>31</v>
      </c>
      <c r="AX5" s="134">
        <v>41</v>
      </c>
      <c r="AY5" s="134">
        <v>50</v>
      </c>
      <c r="AZ5" s="134">
        <v>13</v>
      </c>
      <c r="BA5" s="134">
        <v>0</v>
      </c>
      <c r="BB5" s="134">
        <f>SUM(AT5:BA5)</f>
        <v>159</v>
      </c>
      <c r="BC5" s="134">
        <v>0</v>
      </c>
      <c r="BD5" s="134">
        <v>5</v>
      </c>
      <c r="BE5" s="134">
        <v>19</v>
      </c>
      <c r="BF5" s="134">
        <v>31</v>
      </c>
      <c r="BG5" s="134">
        <v>41</v>
      </c>
      <c r="BH5" s="134">
        <v>50</v>
      </c>
      <c r="BI5" s="134">
        <v>13</v>
      </c>
      <c r="BJ5" s="134">
        <f>SUM(BC5:BI5)</f>
        <v>159</v>
      </c>
      <c r="BK5" s="134">
        <v>55</v>
      </c>
      <c r="BL5" s="134">
        <v>104</v>
      </c>
      <c r="BM5" s="134">
        <v>0</v>
      </c>
      <c r="BN5" s="134">
        <v>0</v>
      </c>
      <c r="BO5" s="134">
        <v>166</v>
      </c>
      <c r="BP5" s="134">
        <v>60</v>
      </c>
      <c r="BQ5" s="134">
        <v>0</v>
      </c>
      <c r="BR5" s="134">
        <v>0</v>
      </c>
      <c r="BS5" s="134">
        <v>0</v>
      </c>
      <c r="BT5" s="134">
        <v>0</v>
      </c>
      <c r="BU5" s="134">
        <v>0</v>
      </c>
      <c r="BV5" s="134">
        <v>0</v>
      </c>
      <c r="BW5" s="134">
        <v>0</v>
      </c>
      <c r="BX5" s="134">
        <v>0</v>
      </c>
      <c r="BY5" s="134">
        <v>0</v>
      </c>
      <c r="BZ5" s="134">
        <v>0</v>
      </c>
      <c r="CA5" s="134">
        <f>SUM(BW5:BZ5)</f>
        <v>0</v>
      </c>
      <c r="CB5" s="144">
        <v>4.2000000000000003E-2</v>
      </c>
      <c r="CC5" s="144">
        <v>1</v>
      </c>
      <c r="CD5" s="220" t="s">
        <v>207</v>
      </c>
      <c r="CE5" s="221"/>
      <c r="CF5" s="222"/>
    </row>
    <row r="6" spans="1:85" x14ac:dyDescent="0.35">
      <c r="A6" s="133" t="s">
        <v>175</v>
      </c>
      <c r="B6" s="22">
        <v>1</v>
      </c>
      <c r="C6" s="22"/>
      <c r="D6" s="23" t="s">
        <v>209</v>
      </c>
      <c r="E6" s="134" t="s">
        <v>181</v>
      </c>
      <c r="F6" s="134" t="s">
        <v>181</v>
      </c>
      <c r="G6" s="134" t="s">
        <v>181</v>
      </c>
      <c r="M6" s="136" t="s">
        <v>205</v>
      </c>
      <c r="N6" s="130">
        <v>1</v>
      </c>
      <c r="O6" s="130">
        <v>3</v>
      </c>
      <c r="P6" s="134">
        <v>1</v>
      </c>
      <c r="Q6" s="134">
        <v>1</v>
      </c>
      <c r="R6" s="134">
        <v>3</v>
      </c>
      <c r="S6" s="134" t="s">
        <v>206</v>
      </c>
      <c r="T6" s="134">
        <v>1</v>
      </c>
      <c r="U6" s="134">
        <v>3</v>
      </c>
      <c r="V6" s="134">
        <v>0</v>
      </c>
      <c r="W6" s="134">
        <v>0</v>
      </c>
      <c r="X6" s="134">
        <v>0</v>
      </c>
      <c r="Y6" s="134">
        <f t="shared" si="1"/>
        <v>3</v>
      </c>
      <c r="Z6" s="134">
        <v>0</v>
      </c>
      <c r="AA6" s="134">
        <v>1</v>
      </c>
      <c r="AB6" s="134">
        <v>3</v>
      </c>
      <c r="AC6" s="134">
        <v>4</v>
      </c>
      <c r="AD6" s="134">
        <v>0</v>
      </c>
      <c r="AE6" s="134">
        <v>3</v>
      </c>
      <c r="AF6" s="134">
        <v>1</v>
      </c>
      <c r="AG6" s="134">
        <v>0</v>
      </c>
      <c r="AH6" s="134">
        <v>0</v>
      </c>
      <c r="AI6" s="134">
        <f t="shared" si="3"/>
        <v>12</v>
      </c>
      <c r="AJ6" s="134">
        <v>0</v>
      </c>
      <c r="AK6" s="134">
        <v>0</v>
      </c>
      <c r="AL6" s="134">
        <v>0</v>
      </c>
      <c r="AM6" s="134">
        <v>1</v>
      </c>
      <c r="AN6" s="134">
        <v>0</v>
      </c>
      <c r="AO6" s="134">
        <v>1</v>
      </c>
      <c r="AP6" s="134">
        <v>0</v>
      </c>
      <c r="AQ6" s="134">
        <v>0</v>
      </c>
      <c r="AR6" s="134">
        <v>0</v>
      </c>
      <c r="AS6" s="134">
        <f t="shared" si="5"/>
        <v>2</v>
      </c>
      <c r="AT6" s="134">
        <v>0</v>
      </c>
      <c r="AU6" s="134">
        <v>1</v>
      </c>
      <c r="AV6" s="134">
        <v>3</v>
      </c>
      <c r="AW6" s="134">
        <v>3</v>
      </c>
      <c r="AX6" s="134">
        <v>0</v>
      </c>
      <c r="AY6" s="134">
        <v>2</v>
      </c>
      <c r="AZ6" s="134">
        <v>1</v>
      </c>
      <c r="BA6" s="134">
        <v>0</v>
      </c>
      <c r="BB6" s="134">
        <f t="shared" ref="BB6:BB29" si="9">SUM(AT6:BA6)</f>
        <v>10</v>
      </c>
      <c r="BC6" s="134">
        <v>0</v>
      </c>
      <c r="BD6" s="134">
        <v>1</v>
      </c>
      <c r="BE6" s="134">
        <v>3</v>
      </c>
      <c r="BF6" s="134">
        <v>3</v>
      </c>
      <c r="BG6" s="134">
        <v>0</v>
      </c>
      <c r="BH6" s="134">
        <v>2</v>
      </c>
      <c r="BI6" s="134">
        <v>1</v>
      </c>
      <c r="BJ6" s="134">
        <f t="shared" ref="BJ6:BJ29" si="10">SUM(BC6:BI6)</f>
        <v>10</v>
      </c>
      <c r="BK6" s="134">
        <v>7</v>
      </c>
      <c r="BL6" s="134">
        <v>3</v>
      </c>
      <c r="BM6" s="134">
        <v>0</v>
      </c>
      <c r="BN6" s="134">
        <v>0</v>
      </c>
      <c r="BO6" s="134">
        <v>12</v>
      </c>
      <c r="BP6" s="134">
        <v>10</v>
      </c>
      <c r="BQ6" s="134">
        <v>0</v>
      </c>
      <c r="BR6" s="134">
        <v>0</v>
      </c>
      <c r="BS6" s="134">
        <v>0</v>
      </c>
      <c r="BT6" s="134">
        <v>0</v>
      </c>
      <c r="BU6" s="134">
        <v>0</v>
      </c>
      <c r="BV6" s="134">
        <v>0</v>
      </c>
      <c r="BW6" s="134">
        <v>0</v>
      </c>
      <c r="BX6" s="134">
        <v>0</v>
      </c>
      <c r="BY6" s="134">
        <v>0</v>
      </c>
      <c r="BZ6" s="134">
        <v>0</v>
      </c>
      <c r="CA6" s="134">
        <f t="shared" ref="CA6:CA29" si="11">SUM(BW6:BZ6)</f>
        <v>0</v>
      </c>
      <c r="CB6" s="144">
        <v>0.16600000000000001</v>
      </c>
      <c r="CC6" s="144">
        <v>1</v>
      </c>
      <c r="CD6" s="220" t="s">
        <v>207</v>
      </c>
      <c r="CE6" s="221"/>
      <c r="CF6" s="222"/>
    </row>
    <row r="7" spans="1:85" x14ac:dyDescent="0.35">
      <c r="A7" s="133" t="s">
        <v>175</v>
      </c>
      <c r="B7" s="22">
        <v>1</v>
      </c>
      <c r="C7" s="22"/>
      <c r="D7" s="23" t="s">
        <v>209</v>
      </c>
      <c r="E7" s="135" t="s">
        <v>182</v>
      </c>
      <c r="F7" s="135" t="s">
        <v>182</v>
      </c>
      <c r="G7" s="135" t="s">
        <v>182</v>
      </c>
      <c r="M7" s="136" t="s">
        <v>205</v>
      </c>
      <c r="N7" s="130">
        <v>1</v>
      </c>
      <c r="O7" s="130">
        <v>3</v>
      </c>
      <c r="P7" s="134">
        <v>1</v>
      </c>
      <c r="Q7" s="134">
        <v>1</v>
      </c>
      <c r="R7" s="134">
        <v>3</v>
      </c>
      <c r="S7" s="134" t="s">
        <v>206</v>
      </c>
      <c r="T7" s="134">
        <v>1</v>
      </c>
      <c r="U7" s="134">
        <v>22</v>
      </c>
      <c r="V7" s="134">
        <v>0</v>
      </c>
      <c r="W7" s="134">
        <v>0</v>
      </c>
      <c r="X7" s="134">
        <v>0</v>
      </c>
      <c r="Y7" s="134">
        <f t="shared" si="1"/>
        <v>22</v>
      </c>
      <c r="Z7" s="134">
        <v>0</v>
      </c>
      <c r="AA7" s="134">
        <v>8</v>
      </c>
      <c r="AB7" s="134">
        <v>17</v>
      </c>
      <c r="AC7" s="134">
        <v>12</v>
      </c>
      <c r="AD7" s="134">
        <v>20</v>
      </c>
      <c r="AE7" s="134">
        <v>27</v>
      </c>
      <c r="AF7" s="134">
        <v>9</v>
      </c>
      <c r="AG7" s="134">
        <v>0</v>
      </c>
      <c r="AH7" s="134">
        <v>1</v>
      </c>
      <c r="AI7" s="134">
        <f t="shared" si="3"/>
        <v>94</v>
      </c>
      <c r="AJ7" s="134">
        <v>0</v>
      </c>
      <c r="AK7" s="134">
        <v>0</v>
      </c>
      <c r="AL7" s="134">
        <v>0</v>
      </c>
      <c r="AM7" s="134">
        <v>0</v>
      </c>
      <c r="AN7" s="134">
        <v>0</v>
      </c>
      <c r="AO7" s="134">
        <v>0</v>
      </c>
      <c r="AP7" s="134">
        <v>3</v>
      </c>
      <c r="AQ7" s="134">
        <v>0</v>
      </c>
      <c r="AR7" s="134">
        <v>0</v>
      </c>
      <c r="AS7" s="134">
        <f t="shared" si="5"/>
        <v>3</v>
      </c>
      <c r="AT7" s="134">
        <v>0</v>
      </c>
      <c r="AU7" s="134">
        <v>8</v>
      </c>
      <c r="AV7" s="134">
        <v>17</v>
      </c>
      <c r="AW7" s="134">
        <v>12</v>
      </c>
      <c r="AX7" s="134">
        <v>20</v>
      </c>
      <c r="AY7" s="134">
        <v>24</v>
      </c>
      <c r="AZ7" s="134">
        <v>9</v>
      </c>
      <c r="BA7" s="134">
        <v>0</v>
      </c>
      <c r="BB7" s="134">
        <f t="shared" si="9"/>
        <v>90</v>
      </c>
      <c r="BC7" s="134">
        <v>0</v>
      </c>
      <c r="BD7" s="134">
        <v>8</v>
      </c>
      <c r="BE7" s="134">
        <v>17</v>
      </c>
      <c r="BF7" s="134">
        <v>12</v>
      </c>
      <c r="BG7" s="134">
        <v>20</v>
      </c>
      <c r="BH7" s="134">
        <v>24</v>
      </c>
      <c r="BI7" s="134">
        <v>9</v>
      </c>
      <c r="BJ7" s="134">
        <f t="shared" si="10"/>
        <v>90</v>
      </c>
      <c r="BK7" s="134">
        <v>37</v>
      </c>
      <c r="BL7" s="134">
        <v>53</v>
      </c>
      <c r="BM7" s="134">
        <v>0</v>
      </c>
      <c r="BN7" s="134">
        <v>0</v>
      </c>
      <c r="BO7" s="134">
        <v>94</v>
      </c>
      <c r="BP7" s="134">
        <v>15</v>
      </c>
      <c r="BQ7" s="134">
        <v>0</v>
      </c>
      <c r="BR7" s="134">
        <v>0</v>
      </c>
      <c r="BS7" s="134">
        <v>0</v>
      </c>
      <c r="BT7" s="134">
        <v>0</v>
      </c>
      <c r="BU7" s="134">
        <v>0</v>
      </c>
      <c r="BV7" s="134">
        <v>0</v>
      </c>
      <c r="BW7" s="134">
        <v>0</v>
      </c>
      <c r="BX7" s="134">
        <v>0</v>
      </c>
      <c r="BY7" s="134">
        <v>0</v>
      </c>
      <c r="BZ7" s="134">
        <v>0</v>
      </c>
      <c r="CA7" s="134">
        <f t="shared" si="11"/>
        <v>0</v>
      </c>
      <c r="CB7" s="144">
        <v>3.1899999999999998E-2</v>
      </c>
      <c r="CC7" s="144">
        <v>1</v>
      </c>
      <c r="CD7" s="141"/>
      <c r="CE7" s="142"/>
      <c r="CF7" s="143"/>
    </row>
    <row r="8" spans="1:85" ht="20.25" customHeight="1" x14ac:dyDescent="0.35">
      <c r="A8" s="133" t="s">
        <v>175</v>
      </c>
      <c r="B8" s="22">
        <v>1</v>
      </c>
      <c r="C8" s="22"/>
      <c r="D8" s="23" t="s">
        <v>209</v>
      </c>
      <c r="E8" s="135" t="s">
        <v>183</v>
      </c>
      <c r="F8" s="135" t="s">
        <v>183</v>
      </c>
      <c r="G8" s="135" t="s">
        <v>183</v>
      </c>
      <c r="M8" s="136" t="s">
        <v>205</v>
      </c>
      <c r="N8" s="130">
        <v>1</v>
      </c>
      <c r="O8" s="130">
        <v>3</v>
      </c>
      <c r="P8" s="134">
        <v>1</v>
      </c>
      <c r="Q8" s="134">
        <v>1</v>
      </c>
      <c r="R8" s="134">
        <v>3</v>
      </c>
      <c r="S8" s="134" t="s">
        <v>206</v>
      </c>
      <c r="T8" s="134">
        <v>1</v>
      </c>
      <c r="U8" s="134">
        <v>3</v>
      </c>
      <c r="V8" s="134">
        <v>0</v>
      </c>
      <c r="W8" s="134">
        <v>0</v>
      </c>
      <c r="X8" s="134">
        <v>0</v>
      </c>
      <c r="Y8" s="134">
        <f t="shared" si="1"/>
        <v>3</v>
      </c>
      <c r="Z8" s="134">
        <v>0</v>
      </c>
      <c r="AA8" s="134">
        <v>0</v>
      </c>
      <c r="AB8" s="134">
        <v>1</v>
      </c>
      <c r="AC8" s="134">
        <v>4</v>
      </c>
      <c r="AD8" s="134">
        <v>2</v>
      </c>
      <c r="AE8" s="134">
        <v>8</v>
      </c>
      <c r="AF8" s="134">
        <v>0</v>
      </c>
      <c r="AG8" s="134">
        <v>0</v>
      </c>
      <c r="AH8" s="134">
        <v>0</v>
      </c>
      <c r="AI8" s="134">
        <f t="shared" si="3"/>
        <v>15</v>
      </c>
      <c r="AJ8" s="134">
        <v>0</v>
      </c>
      <c r="AK8" s="134">
        <v>0</v>
      </c>
      <c r="AL8" s="134">
        <v>0</v>
      </c>
      <c r="AM8" s="134">
        <v>0</v>
      </c>
      <c r="AN8" s="134">
        <v>0</v>
      </c>
      <c r="AO8" s="134">
        <v>0</v>
      </c>
      <c r="AP8" s="134">
        <v>0</v>
      </c>
      <c r="AQ8" s="134">
        <v>0</v>
      </c>
      <c r="AR8" s="134">
        <v>0</v>
      </c>
      <c r="AS8" s="134">
        <f t="shared" si="5"/>
        <v>0</v>
      </c>
      <c r="AT8" s="134">
        <v>0</v>
      </c>
      <c r="AU8" s="134">
        <v>0</v>
      </c>
      <c r="AV8" s="134">
        <v>1</v>
      </c>
      <c r="AW8" s="134">
        <v>4</v>
      </c>
      <c r="AX8" s="134">
        <v>2</v>
      </c>
      <c r="AY8" s="134">
        <v>8</v>
      </c>
      <c r="AZ8" s="134">
        <v>0</v>
      </c>
      <c r="BA8" s="134">
        <v>0</v>
      </c>
      <c r="BB8" s="134">
        <f t="shared" si="9"/>
        <v>15</v>
      </c>
      <c r="BC8" s="134">
        <v>0</v>
      </c>
      <c r="BD8" s="134">
        <v>0</v>
      </c>
      <c r="BE8" s="134">
        <v>0</v>
      </c>
      <c r="BF8" s="134">
        <v>1</v>
      </c>
      <c r="BG8" s="134">
        <v>4</v>
      </c>
      <c r="BH8" s="134">
        <v>2</v>
      </c>
      <c r="BI8" s="134">
        <v>8</v>
      </c>
      <c r="BJ8" s="134">
        <f t="shared" si="10"/>
        <v>15</v>
      </c>
      <c r="BK8" s="134">
        <v>1</v>
      </c>
      <c r="BL8" s="134">
        <v>14</v>
      </c>
      <c r="BM8" s="134">
        <v>0</v>
      </c>
      <c r="BN8" s="134">
        <v>0</v>
      </c>
      <c r="BO8" s="134">
        <v>15</v>
      </c>
      <c r="BP8" s="134">
        <v>0</v>
      </c>
      <c r="BQ8" s="134">
        <v>0</v>
      </c>
      <c r="BR8" s="134">
        <v>0</v>
      </c>
      <c r="BS8" s="134">
        <v>0</v>
      </c>
      <c r="BT8" s="134">
        <v>0</v>
      </c>
      <c r="BU8" s="134">
        <v>0</v>
      </c>
      <c r="BV8" s="134">
        <v>0</v>
      </c>
      <c r="BW8" s="134">
        <v>0</v>
      </c>
      <c r="BX8" s="134">
        <v>0</v>
      </c>
      <c r="BY8" s="134">
        <v>0</v>
      </c>
      <c r="BZ8" s="134">
        <v>0</v>
      </c>
      <c r="CA8" s="134">
        <f t="shared" si="11"/>
        <v>0</v>
      </c>
      <c r="CB8" s="144">
        <v>0</v>
      </c>
      <c r="CC8" s="144">
        <v>1</v>
      </c>
      <c r="CD8" s="141" t="s">
        <v>207</v>
      </c>
      <c r="CE8" s="142"/>
      <c r="CF8" s="143"/>
    </row>
    <row r="9" spans="1:85" ht="30.5" customHeight="1" x14ac:dyDescent="0.35">
      <c r="A9" s="133" t="s">
        <v>175</v>
      </c>
      <c r="B9" s="22">
        <v>1</v>
      </c>
      <c r="C9" s="22"/>
      <c r="D9" s="23" t="s">
        <v>209</v>
      </c>
      <c r="E9" s="135" t="s">
        <v>184</v>
      </c>
      <c r="F9" s="135" t="s">
        <v>184</v>
      </c>
      <c r="G9" s="135" t="s">
        <v>184</v>
      </c>
      <c r="M9" s="136" t="s">
        <v>205</v>
      </c>
      <c r="N9" s="130">
        <v>1</v>
      </c>
      <c r="O9" s="130">
        <v>3</v>
      </c>
      <c r="P9" s="134">
        <v>1</v>
      </c>
      <c r="Q9" s="134">
        <v>1</v>
      </c>
      <c r="R9" s="134">
        <v>3</v>
      </c>
      <c r="S9" s="134" t="s">
        <v>206</v>
      </c>
      <c r="T9" s="134">
        <v>1</v>
      </c>
      <c r="U9" s="134">
        <v>31</v>
      </c>
      <c r="V9" s="134">
        <v>0</v>
      </c>
      <c r="W9" s="134">
        <v>0</v>
      </c>
      <c r="X9" s="134">
        <v>0</v>
      </c>
      <c r="Y9" s="134">
        <f t="shared" si="1"/>
        <v>31</v>
      </c>
      <c r="Z9" s="134">
        <v>3</v>
      </c>
      <c r="AA9" s="134">
        <v>8</v>
      </c>
      <c r="AB9" s="134">
        <v>17</v>
      </c>
      <c r="AC9" s="134">
        <v>26</v>
      </c>
      <c r="AD9" s="134">
        <v>20</v>
      </c>
      <c r="AE9" s="134">
        <v>43</v>
      </c>
      <c r="AF9" s="134">
        <v>8</v>
      </c>
      <c r="AG9" s="134">
        <v>7</v>
      </c>
      <c r="AH9" s="134">
        <v>0</v>
      </c>
      <c r="AI9" s="134">
        <f t="shared" si="3"/>
        <v>132</v>
      </c>
      <c r="AJ9" s="134">
        <v>0</v>
      </c>
      <c r="AK9" s="134">
        <v>0</v>
      </c>
      <c r="AL9" s="134">
        <v>0</v>
      </c>
      <c r="AM9" s="134">
        <v>0</v>
      </c>
      <c r="AN9" s="134">
        <v>1</v>
      </c>
      <c r="AO9" s="134">
        <v>3</v>
      </c>
      <c r="AP9" s="134">
        <v>0</v>
      </c>
      <c r="AQ9" s="134">
        <v>0</v>
      </c>
      <c r="AR9" s="134">
        <v>0</v>
      </c>
      <c r="AS9" s="134">
        <f t="shared" si="5"/>
        <v>4</v>
      </c>
      <c r="AT9" s="134">
        <v>3</v>
      </c>
      <c r="AU9" s="134">
        <v>8</v>
      </c>
      <c r="AV9" s="134">
        <v>17</v>
      </c>
      <c r="AW9" s="134">
        <v>26</v>
      </c>
      <c r="AX9" s="134">
        <v>19</v>
      </c>
      <c r="AY9" s="134">
        <v>40</v>
      </c>
      <c r="AZ9" s="134">
        <v>8</v>
      </c>
      <c r="BA9" s="134">
        <v>0</v>
      </c>
      <c r="BB9" s="134">
        <f t="shared" si="9"/>
        <v>121</v>
      </c>
      <c r="BC9" s="134">
        <v>3</v>
      </c>
      <c r="BD9" s="134">
        <v>8</v>
      </c>
      <c r="BE9" s="134">
        <v>17</v>
      </c>
      <c r="BF9" s="134">
        <v>26</v>
      </c>
      <c r="BG9" s="134">
        <v>19</v>
      </c>
      <c r="BH9" s="134">
        <v>40</v>
      </c>
      <c r="BI9" s="134">
        <v>8</v>
      </c>
      <c r="BJ9" s="134">
        <f t="shared" si="10"/>
        <v>121</v>
      </c>
      <c r="BK9" s="134">
        <v>41</v>
      </c>
      <c r="BL9" s="134">
        <v>80</v>
      </c>
      <c r="BM9" s="134">
        <v>0</v>
      </c>
      <c r="BN9" s="134">
        <v>0</v>
      </c>
      <c r="BO9" s="134">
        <v>132</v>
      </c>
      <c r="BP9" s="134">
        <v>0</v>
      </c>
      <c r="BQ9" s="134">
        <v>0</v>
      </c>
      <c r="BR9" s="134">
        <v>0</v>
      </c>
      <c r="BS9" s="134">
        <v>0</v>
      </c>
      <c r="BT9" s="134">
        <v>0</v>
      </c>
      <c r="BU9" s="134">
        <v>0</v>
      </c>
      <c r="BV9" s="134">
        <v>0</v>
      </c>
      <c r="BW9" s="134">
        <v>0</v>
      </c>
      <c r="BX9" s="134">
        <v>0</v>
      </c>
      <c r="BY9" s="134">
        <v>0</v>
      </c>
      <c r="BZ9" s="134">
        <v>0</v>
      </c>
      <c r="CA9" s="134">
        <f t="shared" si="11"/>
        <v>0</v>
      </c>
      <c r="CB9" s="144">
        <v>3.2000000000000001E-2</v>
      </c>
      <c r="CC9" s="144">
        <v>1</v>
      </c>
    </row>
    <row r="10" spans="1:85" ht="20.25" customHeight="1" x14ac:dyDescent="0.35">
      <c r="A10" s="133" t="s">
        <v>175</v>
      </c>
      <c r="B10" s="22">
        <v>1</v>
      </c>
      <c r="C10" s="22"/>
      <c r="D10" s="23" t="s">
        <v>209</v>
      </c>
      <c r="E10" s="135" t="s">
        <v>185</v>
      </c>
      <c r="F10" s="135" t="s">
        <v>185</v>
      </c>
      <c r="G10" s="135" t="s">
        <v>185</v>
      </c>
      <c r="M10" s="136" t="s">
        <v>205</v>
      </c>
      <c r="N10" s="130">
        <v>1</v>
      </c>
      <c r="O10" s="130">
        <v>3</v>
      </c>
      <c r="P10" s="134">
        <v>1</v>
      </c>
      <c r="Q10" s="134">
        <v>1</v>
      </c>
      <c r="R10" s="134">
        <v>3</v>
      </c>
      <c r="S10" s="134" t="s">
        <v>206</v>
      </c>
      <c r="T10" s="134">
        <v>1</v>
      </c>
      <c r="U10" s="134">
        <v>1</v>
      </c>
      <c r="V10" s="134">
        <v>0</v>
      </c>
      <c r="W10" s="134">
        <v>0</v>
      </c>
      <c r="X10" s="134">
        <v>0</v>
      </c>
      <c r="Y10" s="134">
        <f t="shared" si="1"/>
        <v>1</v>
      </c>
      <c r="Z10" s="134">
        <v>0</v>
      </c>
      <c r="AA10" s="134">
        <v>3</v>
      </c>
      <c r="AB10" s="134">
        <v>4</v>
      </c>
      <c r="AC10" s="134">
        <v>4</v>
      </c>
      <c r="AD10" s="134">
        <v>13</v>
      </c>
      <c r="AE10" s="134">
        <v>13</v>
      </c>
      <c r="AF10" s="134">
        <v>13</v>
      </c>
      <c r="AG10" s="134">
        <v>16</v>
      </c>
      <c r="AH10" s="134">
        <v>0</v>
      </c>
      <c r="AI10" s="134">
        <f t="shared" si="3"/>
        <v>66</v>
      </c>
      <c r="AJ10" s="134">
        <v>0</v>
      </c>
      <c r="AK10" s="134">
        <v>3</v>
      </c>
      <c r="AL10" s="134">
        <v>4</v>
      </c>
      <c r="AM10" s="134">
        <v>4</v>
      </c>
      <c r="AN10" s="134">
        <v>13</v>
      </c>
      <c r="AO10" s="134">
        <v>13</v>
      </c>
      <c r="AP10" s="134">
        <v>13</v>
      </c>
      <c r="AQ10" s="134">
        <v>0</v>
      </c>
      <c r="AR10" s="134">
        <v>0</v>
      </c>
      <c r="AS10" s="134">
        <f t="shared" si="5"/>
        <v>50</v>
      </c>
      <c r="AT10" s="134">
        <v>0</v>
      </c>
      <c r="AU10" s="134">
        <v>3</v>
      </c>
      <c r="AV10" s="134">
        <v>4</v>
      </c>
      <c r="AW10" s="134">
        <v>4</v>
      </c>
      <c r="AX10" s="134">
        <v>13</v>
      </c>
      <c r="AY10" s="134">
        <v>13</v>
      </c>
      <c r="AZ10" s="134">
        <v>13</v>
      </c>
      <c r="BA10" s="134">
        <v>0</v>
      </c>
      <c r="BB10" s="134">
        <f t="shared" si="9"/>
        <v>50</v>
      </c>
      <c r="BC10" s="134">
        <v>0</v>
      </c>
      <c r="BD10" s="134">
        <v>3</v>
      </c>
      <c r="BE10" s="134">
        <v>4</v>
      </c>
      <c r="BF10" s="134">
        <v>4</v>
      </c>
      <c r="BG10" s="134">
        <v>13</v>
      </c>
      <c r="BH10" s="134">
        <v>13</v>
      </c>
      <c r="BI10" s="134">
        <v>13</v>
      </c>
      <c r="BJ10" s="134">
        <f t="shared" si="10"/>
        <v>50</v>
      </c>
      <c r="BK10" s="134">
        <v>11</v>
      </c>
      <c r="BL10" s="134">
        <v>39</v>
      </c>
      <c r="BM10" s="134">
        <v>0</v>
      </c>
      <c r="BN10" s="134">
        <v>0</v>
      </c>
      <c r="BO10" s="134">
        <v>66</v>
      </c>
      <c r="BP10" s="134">
        <v>0</v>
      </c>
      <c r="BQ10" s="134">
        <v>0</v>
      </c>
      <c r="BR10" s="134">
        <v>0</v>
      </c>
      <c r="BS10" s="134">
        <v>0</v>
      </c>
      <c r="BT10" s="134">
        <v>0</v>
      </c>
      <c r="BU10" s="134">
        <v>0</v>
      </c>
      <c r="BV10" s="134">
        <v>0</v>
      </c>
      <c r="BW10" s="134">
        <v>0</v>
      </c>
      <c r="BX10" s="134">
        <v>0</v>
      </c>
      <c r="BY10" s="134">
        <v>0</v>
      </c>
      <c r="BZ10" s="134">
        <v>0</v>
      </c>
      <c r="CA10" s="134">
        <f t="shared" si="11"/>
        <v>0</v>
      </c>
      <c r="CB10" s="144">
        <v>0</v>
      </c>
      <c r="CC10" s="144">
        <v>1</v>
      </c>
    </row>
    <row r="11" spans="1:85" ht="24" customHeight="1" x14ac:dyDescent="0.35">
      <c r="A11" s="133" t="s">
        <v>175</v>
      </c>
      <c r="B11" s="22">
        <v>1</v>
      </c>
      <c r="C11" s="22"/>
      <c r="D11" s="23" t="s">
        <v>209</v>
      </c>
      <c r="E11" s="135" t="s">
        <v>186</v>
      </c>
      <c r="F11" s="135" t="s">
        <v>186</v>
      </c>
      <c r="G11" s="135" t="s">
        <v>186</v>
      </c>
      <c r="M11" s="136" t="s">
        <v>205</v>
      </c>
      <c r="N11" s="130">
        <v>1</v>
      </c>
      <c r="O11" s="130">
        <v>3</v>
      </c>
      <c r="P11" s="134">
        <v>1</v>
      </c>
      <c r="Q11" s="134">
        <v>1</v>
      </c>
      <c r="R11" s="134">
        <v>3</v>
      </c>
      <c r="S11" s="134" t="s">
        <v>206</v>
      </c>
      <c r="T11" s="134">
        <v>1</v>
      </c>
      <c r="U11" s="134">
        <v>1</v>
      </c>
      <c r="V11" s="134">
        <v>0</v>
      </c>
      <c r="W11" s="134">
        <v>0</v>
      </c>
      <c r="X11" s="134">
        <v>0</v>
      </c>
      <c r="Y11" s="134">
        <f t="shared" si="1"/>
        <v>1</v>
      </c>
      <c r="Z11" s="134">
        <v>0</v>
      </c>
      <c r="AA11" s="134">
        <v>5</v>
      </c>
      <c r="AB11" s="134">
        <v>8</v>
      </c>
      <c r="AC11" s="134">
        <v>17</v>
      </c>
      <c r="AD11" s="134">
        <v>21</v>
      </c>
      <c r="AE11" s="134">
        <v>4</v>
      </c>
      <c r="AF11" s="134">
        <v>8</v>
      </c>
      <c r="AG11" s="134">
        <v>3</v>
      </c>
      <c r="AH11" s="134">
        <v>0</v>
      </c>
      <c r="AI11" s="134">
        <f t="shared" si="3"/>
        <v>66</v>
      </c>
      <c r="AJ11" s="134">
        <v>0</v>
      </c>
      <c r="AK11" s="134">
        <v>4</v>
      </c>
      <c r="AL11" s="134">
        <v>6</v>
      </c>
      <c r="AM11" s="134">
        <v>13</v>
      </c>
      <c r="AN11" s="134">
        <v>11</v>
      </c>
      <c r="AO11" s="134">
        <v>0</v>
      </c>
      <c r="AP11" s="134">
        <v>0</v>
      </c>
      <c r="AQ11" s="134">
        <v>0</v>
      </c>
      <c r="AR11" s="134">
        <v>0</v>
      </c>
      <c r="AS11" s="134">
        <f t="shared" si="5"/>
        <v>34</v>
      </c>
      <c r="AT11" s="134">
        <v>0</v>
      </c>
      <c r="AU11" s="134">
        <v>1</v>
      </c>
      <c r="AV11" s="134">
        <v>0</v>
      </c>
      <c r="AW11" s="134">
        <v>0</v>
      </c>
      <c r="AX11" s="134">
        <v>7</v>
      </c>
      <c r="AY11" s="134">
        <v>4</v>
      </c>
      <c r="AZ11" s="134">
        <v>8</v>
      </c>
      <c r="BA11" s="134">
        <v>0</v>
      </c>
      <c r="BB11" s="134">
        <f t="shared" si="9"/>
        <v>20</v>
      </c>
      <c r="BC11" s="134">
        <v>0</v>
      </c>
      <c r="BD11" s="134">
        <v>1</v>
      </c>
      <c r="BE11" s="134">
        <v>0</v>
      </c>
      <c r="BF11" s="134">
        <v>0</v>
      </c>
      <c r="BG11" s="134">
        <v>7</v>
      </c>
      <c r="BH11" s="134">
        <v>4</v>
      </c>
      <c r="BI11" s="134">
        <v>8</v>
      </c>
      <c r="BJ11" s="134">
        <f t="shared" si="10"/>
        <v>20</v>
      </c>
      <c r="BK11" s="134">
        <v>1</v>
      </c>
      <c r="BL11" s="134">
        <v>19</v>
      </c>
      <c r="BM11" s="134">
        <v>0</v>
      </c>
      <c r="BN11" s="134">
        <v>0</v>
      </c>
      <c r="BO11" s="134">
        <v>66</v>
      </c>
      <c r="BP11" s="134">
        <v>0</v>
      </c>
      <c r="BQ11" s="134">
        <v>0</v>
      </c>
      <c r="BR11" s="134">
        <v>0</v>
      </c>
      <c r="BS11" s="134">
        <v>0</v>
      </c>
      <c r="BT11" s="134">
        <v>0</v>
      </c>
      <c r="BU11" s="134">
        <v>0</v>
      </c>
      <c r="BV11" s="134">
        <v>0</v>
      </c>
      <c r="BW11" s="134">
        <v>9</v>
      </c>
      <c r="BX11" s="134">
        <v>0</v>
      </c>
      <c r="BY11" s="134">
        <v>0</v>
      </c>
      <c r="BZ11" s="134">
        <v>0</v>
      </c>
      <c r="CA11" s="134">
        <f t="shared" si="11"/>
        <v>9</v>
      </c>
      <c r="CB11" s="144">
        <v>0.51519999999999999</v>
      </c>
      <c r="CC11" s="144">
        <v>0.81820000000000004</v>
      </c>
    </row>
    <row r="12" spans="1:85" ht="26" customHeight="1" x14ac:dyDescent="0.35">
      <c r="A12" s="133" t="s">
        <v>175</v>
      </c>
      <c r="B12" s="22">
        <v>1</v>
      </c>
      <c r="C12" s="22"/>
      <c r="D12" s="23" t="s">
        <v>209</v>
      </c>
      <c r="E12" s="135" t="s">
        <v>187</v>
      </c>
      <c r="F12" s="135" t="s">
        <v>187</v>
      </c>
      <c r="G12" s="135" t="s">
        <v>187</v>
      </c>
      <c r="M12" s="136" t="s">
        <v>205</v>
      </c>
      <c r="N12" s="130">
        <v>1</v>
      </c>
      <c r="O12" s="130">
        <v>3</v>
      </c>
      <c r="P12" s="134">
        <v>1</v>
      </c>
      <c r="Q12" s="134">
        <v>1</v>
      </c>
      <c r="R12" s="134">
        <v>3</v>
      </c>
      <c r="S12" s="134" t="s">
        <v>206</v>
      </c>
      <c r="T12" s="134">
        <v>1</v>
      </c>
      <c r="U12" s="134">
        <v>1</v>
      </c>
      <c r="V12" s="134">
        <v>0</v>
      </c>
      <c r="W12" s="134">
        <v>0</v>
      </c>
      <c r="X12" s="134">
        <v>0</v>
      </c>
      <c r="Y12" s="134">
        <f t="shared" si="1"/>
        <v>1</v>
      </c>
      <c r="Z12" s="134">
        <v>0</v>
      </c>
      <c r="AA12" s="134">
        <v>1</v>
      </c>
      <c r="AB12" s="134">
        <v>1</v>
      </c>
      <c r="AC12" s="134">
        <v>1</v>
      </c>
      <c r="AD12" s="134">
        <v>2</v>
      </c>
      <c r="AE12" s="134">
        <v>1</v>
      </c>
      <c r="AF12" s="134">
        <v>1</v>
      </c>
      <c r="AG12" s="134">
        <v>0</v>
      </c>
      <c r="AH12" s="134">
        <v>0</v>
      </c>
      <c r="AI12" s="134">
        <f t="shared" si="3"/>
        <v>7</v>
      </c>
      <c r="AJ12" s="134">
        <v>0</v>
      </c>
      <c r="AK12" s="134">
        <v>0</v>
      </c>
      <c r="AL12" s="134">
        <v>1</v>
      </c>
      <c r="AM12" s="134">
        <v>1</v>
      </c>
      <c r="AN12" s="134">
        <v>2</v>
      </c>
      <c r="AO12" s="134">
        <v>1</v>
      </c>
      <c r="AP12" s="134">
        <v>1</v>
      </c>
      <c r="AQ12" s="134">
        <v>0</v>
      </c>
      <c r="AR12" s="134">
        <v>0</v>
      </c>
      <c r="AS12" s="134">
        <f t="shared" si="5"/>
        <v>6</v>
      </c>
      <c r="AT12" s="134">
        <v>0</v>
      </c>
      <c r="AU12" s="134">
        <v>1</v>
      </c>
      <c r="AV12" s="134">
        <v>0</v>
      </c>
      <c r="AW12" s="134">
        <v>0</v>
      </c>
      <c r="AX12" s="134">
        <v>0</v>
      </c>
      <c r="AY12" s="134">
        <v>0</v>
      </c>
      <c r="AZ12" s="134">
        <v>0</v>
      </c>
      <c r="BA12" s="134">
        <v>0</v>
      </c>
      <c r="BB12" s="134">
        <f t="shared" si="9"/>
        <v>1</v>
      </c>
      <c r="BC12" s="134">
        <v>0</v>
      </c>
      <c r="BD12" s="134">
        <v>1</v>
      </c>
      <c r="BE12" s="134">
        <v>0</v>
      </c>
      <c r="BF12" s="134">
        <v>0</v>
      </c>
      <c r="BG12" s="134">
        <v>0</v>
      </c>
      <c r="BH12" s="134">
        <v>0</v>
      </c>
      <c r="BI12" s="134">
        <v>0</v>
      </c>
      <c r="BJ12" s="134">
        <f t="shared" si="10"/>
        <v>1</v>
      </c>
      <c r="BK12" s="134">
        <v>1</v>
      </c>
      <c r="BL12" s="134">
        <v>0</v>
      </c>
      <c r="BM12" s="134">
        <v>0</v>
      </c>
      <c r="BN12" s="134">
        <v>0</v>
      </c>
      <c r="BO12" s="134">
        <v>7</v>
      </c>
      <c r="BP12" s="134">
        <v>0</v>
      </c>
      <c r="BQ12" s="134">
        <v>0</v>
      </c>
      <c r="BR12" s="134">
        <v>0</v>
      </c>
      <c r="BS12" s="134">
        <v>0</v>
      </c>
      <c r="BT12" s="134">
        <v>0</v>
      </c>
      <c r="BU12" s="134">
        <v>0</v>
      </c>
      <c r="BV12" s="134">
        <v>0</v>
      </c>
      <c r="BW12" s="134">
        <v>0</v>
      </c>
      <c r="BX12" s="134">
        <v>0</v>
      </c>
      <c r="BY12" s="134">
        <v>0</v>
      </c>
      <c r="BZ12" s="134">
        <v>0</v>
      </c>
      <c r="CA12" s="134">
        <f t="shared" si="11"/>
        <v>0</v>
      </c>
      <c r="CB12" s="144">
        <v>0.86</v>
      </c>
      <c r="CC12" s="144">
        <v>1</v>
      </c>
    </row>
    <row r="13" spans="1:85" ht="24" customHeight="1" x14ac:dyDescent="0.35">
      <c r="A13" s="133" t="s">
        <v>175</v>
      </c>
      <c r="B13" s="22">
        <v>1</v>
      </c>
      <c r="C13" s="22"/>
      <c r="D13" s="23" t="s">
        <v>209</v>
      </c>
      <c r="E13" s="135" t="s">
        <v>188</v>
      </c>
      <c r="F13" s="135" t="s">
        <v>188</v>
      </c>
      <c r="G13" s="135" t="s">
        <v>188</v>
      </c>
      <c r="M13" s="136" t="s">
        <v>205</v>
      </c>
      <c r="N13" s="130">
        <v>1</v>
      </c>
      <c r="O13" s="130">
        <v>3</v>
      </c>
      <c r="P13" s="134">
        <v>1</v>
      </c>
      <c r="Q13" s="134">
        <v>1</v>
      </c>
      <c r="R13" s="134">
        <v>3</v>
      </c>
      <c r="S13" s="134" t="s">
        <v>206</v>
      </c>
      <c r="T13" s="134">
        <v>1</v>
      </c>
      <c r="U13" s="134">
        <v>1</v>
      </c>
      <c r="V13" s="134">
        <v>0</v>
      </c>
      <c r="W13" s="134">
        <v>0</v>
      </c>
      <c r="X13" s="134">
        <v>0</v>
      </c>
      <c r="Y13" s="134">
        <f t="shared" si="1"/>
        <v>1</v>
      </c>
      <c r="Z13" s="134">
        <v>0</v>
      </c>
      <c r="AA13" s="134">
        <v>0</v>
      </c>
      <c r="AB13" s="134">
        <v>1</v>
      </c>
      <c r="AC13" s="134">
        <v>0</v>
      </c>
      <c r="AD13" s="134">
        <v>3</v>
      </c>
      <c r="AE13" s="134">
        <v>2</v>
      </c>
      <c r="AF13" s="134">
        <v>1</v>
      </c>
      <c r="AG13" s="134">
        <v>0</v>
      </c>
      <c r="AH13" s="134">
        <v>0</v>
      </c>
      <c r="AI13" s="134">
        <f t="shared" si="3"/>
        <v>7</v>
      </c>
      <c r="AJ13" s="134">
        <v>0</v>
      </c>
      <c r="AK13" s="134">
        <v>0</v>
      </c>
      <c r="AL13" s="134">
        <v>0</v>
      </c>
      <c r="AM13" s="134">
        <v>0</v>
      </c>
      <c r="AN13" s="134">
        <v>0</v>
      </c>
      <c r="AO13" s="134">
        <v>0</v>
      </c>
      <c r="AP13" s="134">
        <v>0</v>
      </c>
      <c r="AQ13" s="134">
        <v>0</v>
      </c>
      <c r="AR13" s="134">
        <v>0</v>
      </c>
      <c r="AS13" s="134">
        <f t="shared" si="5"/>
        <v>0</v>
      </c>
      <c r="AT13" s="134">
        <v>0</v>
      </c>
      <c r="AU13" s="134">
        <v>0</v>
      </c>
      <c r="AV13" s="134">
        <v>1</v>
      </c>
      <c r="AW13" s="134">
        <v>0</v>
      </c>
      <c r="AX13" s="134">
        <v>3</v>
      </c>
      <c r="AY13" s="134">
        <v>2</v>
      </c>
      <c r="AZ13" s="134">
        <v>1</v>
      </c>
      <c r="BA13" s="134">
        <v>0</v>
      </c>
      <c r="BB13" s="134">
        <f t="shared" si="9"/>
        <v>7</v>
      </c>
      <c r="BC13" s="134">
        <v>0</v>
      </c>
      <c r="BD13" s="134">
        <v>0</v>
      </c>
      <c r="BE13" s="134">
        <v>1</v>
      </c>
      <c r="BF13" s="134">
        <v>0</v>
      </c>
      <c r="BG13" s="134">
        <v>3</v>
      </c>
      <c r="BH13" s="134">
        <v>2</v>
      </c>
      <c r="BI13" s="134">
        <v>1</v>
      </c>
      <c r="BJ13" s="134">
        <f t="shared" si="10"/>
        <v>7</v>
      </c>
      <c r="BK13" s="134">
        <v>1</v>
      </c>
      <c r="BL13" s="134">
        <v>6</v>
      </c>
      <c r="BM13" s="134">
        <v>0</v>
      </c>
      <c r="BN13" s="134">
        <v>0</v>
      </c>
      <c r="BO13" s="134">
        <v>0</v>
      </c>
      <c r="BP13" s="134">
        <v>0</v>
      </c>
      <c r="BQ13" s="134">
        <v>0</v>
      </c>
      <c r="BR13" s="134">
        <v>0</v>
      </c>
      <c r="BS13" s="134">
        <v>0</v>
      </c>
      <c r="BT13" s="134">
        <v>0</v>
      </c>
      <c r="BU13" s="134">
        <v>0</v>
      </c>
      <c r="BV13" s="134">
        <v>0</v>
      </c>
      <c r="BW13" s="134">
        <v>0</v>
      </c>
      <c r="BX13" s="134">
        <v>0</v>
      </c>
      <c r="BY13" s="134">
        <v>0</v>
      </c>
      <c r="BZ13" s="134">
        <v>0</v>
      </c>
      <c r="CA13" s="134">
        <f t="shared" si="11"/>
        <v>0</v>
      </c>
      <c r="CB13" s="144">
        <v>0</v>
      </c>
      <c r="CC13" s="144">
        <v>1</v>
      </c>
    </row>
    <row r="14" spans="1:85" x14ac:dyDescent="0.35">
      <c r="A14" s="133" t="s">
        <v>175</v>
      </c>
      <c r="B14" s="22">
        <v>1</v>
      </c>
      <c r="C14" s="22"/>
      <c r="D14" s="23" t="s">
        <v>209</v>
      </c>
      <c r="E14" s="135" t="s">
        <v>189</v>
      </c>
      <c r="F14" s="135" t="s">
        <v>189</v>
      </c>
      <c r="G14" s="135" t="s">
        <v>189</v>
      </c>
      <c r="M14" s="136" t="s">
        <v>205</v>
      </c>
      <c r="N14" s="130">
        <v>1</v>
      </c>
      <c r="O14" s="130">
        <v>3</v>
      </c>
      <c r="P14" s="134">
        <v>1</v>
      </c>
      <c r="Q14" s="134">
        <v>1</v>
      </c>
      <c r="R14" s="134">
        <v>3</v>
      </c>
      <c r="S14" s="134" t="s">
        <v>206</v>
      </c>
      <c r="T14" s="134">
        <v>1</v>
      </c>
      <c r="U14" s="134">
        <v>1</v>
      </c>
      <c r="V14" s="134">
        <v>0</v>
      </c>
      <c r="W14" s="134">
        <v>0</v>
      </c>
      <c r="X14" s="134">
        <v>0</v>
      </c>
      <c r="Y14" s="134">
        <f t="shared" si="1"/>
        <v>1</v>
      </c>
      <c r="Z14" s="134">
        <v>0</v>
      </c>
      <c r="AA14" s="134">
        <v>1</v>
      </c>
      <c r="AB14" s="134">
        <v>2</v>
      </c>
      <c r="AC14" s="134">
        <v>3</v>
      </c>
      <c r="AD14" s="134">
        <v>2</v>
      </c>
      <c r="AE14" s="134">
        <v>4</v>
      </c>
      <c r="AF14" s="134">
        <v>2</v>
      </c>
      <c r="AG14" s="134">
        <v>0</v>
      </c>
      <c r="AH14" s="134">
        <v>0</v>
      </c>
      <c r="AI14" s="134">
        <f t="shared" si="3"/>
        <v>14</v>
      </c>
      <c r="AJ14" s="134">
        <v>0</v>
      </c>
      <c r="AK14" s="134">
        <v>0</v>
      </c>
      <c r="AL14" s="134">
        <v>0</v>
      </c>
      <c r="AM14" s="134">
        <v>2</v>
      </c>
      <c r="AN14" s="134">
        <v>2</v>
      </c>
      <c r="AO14" s="134">
        <v>2</v>
      </c>
      <c r="AP14" s="134">
        <v>2</v>
      </c>
      <c r="AQ14" s="134">
        <v>0</v>
      </c>
      <c r="AR14" s="134">
        <v>0</v>
      </c>
      <c r="AS14" s="134">
        <f t="shared" si="5"/>
        <v>8</v>
      </c>
      <c r="AT14" s="134">
        <v>0</v>
      </c>
      <c r="AU14" s="134">
        <v>1</v>
      </c>
      <c r="AV14" s="134">
        <v>2</v>
      </c>
      <c r="AW14" s="134">
        <v>1</v>
      </c>
      <c r="AX14" s="134">
        <v>0</v>
      </c>
      <c r="AY14" s="134">
        <v>2</v>
      </c>
      <c r="AZ14" s="134">
        <v>0</v>
      </c>
      <c r="BA14" s="134">
        <v>0</v>
      </c>
      <c r="BB14" s="134">
        <f t="shared" si="9"/>
        <v>6</v>
      </c>
      <c r="BC14" s="134">
        <v>0</v>
      </c>
      <c r="BD14" s="134">
        <v>1</v>
      </c>
      <c r="BE14" s="134">
        <v>2</v>
      </c>
      <c r="BF14" s="134">
        <v>1</v>
      </c>
      <c r="BG14" s="134">
        <v>0</v>
      </c>
      <c r="BH14" s="134">
        <v>2</v>
      </c>
      <c r="BI14" s="134">
        <v>0</v>
      </c>
      <c r="BJ14" s="134">
        <f t="shared" si="10"/>
        <v>6</v>
      </c>
      <c r="BK14" s="134">
        <v>4</v>
      </c>
      <c r="BL14" s="134">
        <v>2</v>
      </c>
      <c r="BM14" s="134">
        <v>0</v>
      </c>
      <c r="BN14" s="134">
        <v>0</v>
      </c>
      <c r="BO14" s="134">
        <v>14</v>
      </c>
      <c r="BP14" s="134">
        <v>0</v>
      </c>
      <c r="BQ14" s="134">
        <v>0</v>
      </c>
      <c r="BR14" s="134">
        <v>0</v>
      </c>
      <c r="BS14" s="134">
        <v>0</v>
      </c>
      <c r="BT14" s="134">
        <v>0</v>
      </c>
      <c r="BU14" s="134">
        <v>0</v>
      </c>
      <c r="BV14" s="134">
        <v>0</v>
      </c>
      <c r="BW14" s="134">
        <v>0</v>
      </c>
      <c r="BX14" s="134">
        <v>0</v>
      </c>
      <c r="BY14" s="134">
        <v>0</v>
      </c>
      <c r="BZ14" s="134">
        <v>0</v>
      </c>
      <c r="CA14" s="134">
        <f t="shared" si="11"/>
        <v>0</v>
      </c>
      <c r="CB14" s="144">
        <v>0.57140000000000002</v>
      </c>
      <c r="CC14" s="144">
        <v>1</v>
      </c>
    </row>
    <row r="15" spans="1:85" x14ac:dyDescent="0.35">
      <c r="A15" s="133" t="s">
        <v>175</v>
      </c>
      <c r="B15" s="22">
        <v>1</v>
      </c>
      <c r="C15" s="22"/>
      <c r="D15" s="23" t="s">
        <v>209</v>
      </c>
      <c r="E15" s="135" t="s">
        <v>190</v>
      </c>
      <c r="F15" s="135" t="s">
        <v>190</v>
      </c>
      <c r="G15" s="135" t="s">
        <v>190</v>
      </c>
      <c r="M15" s="136" t="s">
        <v>205</v>
      </c>
      <c r="N15" s="130">
        <v>1</v>
      </c>
      <c r="O15" s="130">
        <v>3</v>
      </c>
      <c r="P15" s="134">
        <v>1</v>
      </c>
      <c r="Q15" s="134">
        <v>1</v>
      </c>
      <c r="R15" s="134">
        <v>3</v>
      </c>
      <c r="S15" s="134" t="s">
        <v>206</v>
      </c>
      <c r="T15" s="134">
        <v>1</v>
      </c>
      <c r="U15" s="134">
        <v>1</v>
      </c>
      <c r="V15" s="134">
        <v>0</v>
      </c>
      <c r="W15" s="134">
        <v>0</v>
      </c>
      <c r="X15" s="134">
        <v>0</v>
      </c>
      <c r="Y15" s="134">
        <f t="shared" si="1"/>
        <v>1</v>
      </c>
      <c r="Z15" s="134">
        <v>0</v>
      </c>
      <c r="AA15" s="134">
        <v>1</v>
      </c>
      <c r="AB15" s="134">
        <v>1</v>
      </c>
      <c r="AC15" s="134">
        <v>0</v>
      </c>
      <c r="AD15" s="134">
        <v>0</v>
      </c>
      <c r="AE15" s="134">
        <v>2</v>
      </c>
      <c r="AF15" s="134">
        <v>0</v>
      </c>
      <c r="AG15" s="134">
        <v>0</v>
      </c>
      <c r="AH15" s="134">
        <v>0</v>
      </c>
      <c r="AI15" s="134">
        <f t="shared" si="3"/>
        <v>4</v>
      </c>
      <c r="AJ15" s="134">
        <v>0</v>
      </c>
      <c r="AK15" s="134">
        <v>0</v>
      </c>
      <c r="AL15" s="134">
        <v>0</v>
      </c>
      <c r="AM15" s="134">
        <v>0</v>
      </c>
      <c r="AN15" s="134">
        <v>0</v>
      </c>
      <c r="AO15" s="134">
        <v>0</v>
      </c>
      <c r="AP15" s="134">
        <v>0</v>
      </c>
      <c r="AQ15" s="134">
        <v>0</v>
      </c>
      <c r="AR15" s="134">
        <v>0</v>
      </c>
      <c r="AS15" s="134">
        <f t="shared" si="5"/>
        <v>0</v>
      </c>
      <c r="AT15" s="134">
        <v>0</v>
      </c>
      <c r="AU15" s="134">
        <v>1</v>
      </c>
      <c r="AV15" s="134">
        <v>1</v>
      </c>
      <c r="AW15" s="134">
        <v>0</v>
      </c>
      <c r="AX15" s="134">
        <v>0</v>
      </c>
      <c r="AY15" s="134">
        <v>2</v>
      </c>
      <c r="AZ15" s="134">
        <v>0</v>
      </c>
      <c r="BA15" s="134">
        <v>0</v>
      </c>
      <c r="BB15" s="134">
        <f t="shared" si="9"/>
        <v>4</v>
      </c>
      <c r="BC15" s="134">
        <v>0</v>
      </c>
      <c r="BD15" s="134">
        <v>1</v>
      </c>
      <c r="BE15" s="134">
        <v>1</v>
      </c>
      <c r="BF15" s="134">
        <v>0</v>
      </c>
      <c r="BG15" s="134">
        <v>0</v>
      </c>
      <c r="BH15" s="134">
        <v>2</v>
      </c>
      <c r="BI15" s="134">
        <v>0</v>
      </c>
      <c r="BJ15" s="134">
        <f t="shared" si="10"/>
        <v>4</v>
      </c>
      <c r="BK15" s="134">
        <v>2</v>
      </c>
      <c r="BL15" s="134">
        <v>2</v>
      </c>
      <c r="BM15" s="134">
        <v>0</v>
      </c>
      <c r="BN15" s="134">
        <v>0</v>
      </c>
      <c r="BO15" s="134">
        <v>0</v>
      </c>
      <c r="BP15" s="134">
        <v>0</v>
      </c>
      <c r="BQ15" s="134">
        <v>0</v>
      </c>
      <c r="BR15" s="134">
        <v>0</v>
      </c>
      <c r="BS15" s="134">
        <v>0</v>
      </c>
      <c r="BT15" s="134">
        <v>0</v>
      </c>
      <c r="BU15" s="134">
        <v>0</v>
      </c>
      <c r="BV15" s="134">
        <v>0</v>
      </c>
      <c r="BW15" s="134">
        <v>0</v>
      </c>
      <c r="BX15" s="134">
        <v>0</v>
      </c>
      <c r="BY15" s="134">
        <v>0</v>
      </c>
      <c r="BZ15" s="134">
        <v>0</v>
      </c>
      <c r="CA15" s="134">
        <f t="shared" si="11"/>
        <v>0</v>
      </c>
      <c r="CB15" s="144">
        <v>0</v>
      </c>
      <c r="CC15" s="144">
        <v>1</v>
      </c>
    </row>
    <row r="16" spans="1:85" x14ac:dyDescent="0.35">
      <c r="A16" s="133" t="s">
        <v>175</v>
      </c>
      <c r="B16" s="22">
        <v>1</v>
      </c>
      <c r="C16" s="22"/>
      <c r="D16" s="23" t="s">
        <v>209</v>
      </c>
      <c r="E16" s="135" t="s">
        <v>191</v>
      </c>
      <c r="F16" s="135" t="s">
        <v>191</v>
      </c>
      <c r="G16" s="135" t="s">
        <v>191</v>
      </c>
      <c r="M16" s="136" t="s">
        <v>205</v>
      </c>
      <c r="N16" s="130">
        <v>1</v>
      </c>
      <c r="O16" s="130">
        <v>3</v>
      </c>
      <c r="P16" s="134">
        <v>1</v>
      </c>
      <c r="Q16" s="134">
        <v>1</v>
      </c>
      <c r="R16" s="134">
        <v>3</v>
      </c>
      <c r="S16" s="134" t="s">
        <v>206</v>
      </c>
      <c r="T16" s="134">
        <v>1</v>
      </c>
      <c r="U16" s="134">
        <v>1</v>
      </c>
      <c r="V16" s="134">
        <v>0</v>
      </c>
      <c r="W16" s="134">
        <v>0</v>
      </c>
      <c r="X16" s="134">
        <v>0</v>
      </c>
      <c r="Y16" s="134">
        <f t="shared" si="1"/>
        <v>1</v>
      </c>
      <c r="Z16" s="134">
        <v>0</v>
      </c>
      <c r="AA16" s="134">
        <v>2</v>
      </c>
      <c r="AB16" s="134">
        <v>5</v>
      </c>
      <c r="AC16" s="134">
        <v>0</v>
      </c>
      <c r="AD16" s="134">
        <v>0</v>
      </c>
      <c r="AE16" s="134">
        <v>3</v>
      </c>
      <c r="AF16" s="134">
        <v>0</v>
      </c>
      <c r="AG16" s="134">
        <v>5</v>
      </c>
      <c r="AH16" s="134">
        <v>0</v>
      </c>
      <c r="AI16" s="134">
        <f t="shared" si="3"/>
        <v>15</v>
      </c>
      <c r="AJ16" s="134">
        <v>0</v>
      </c>
      <c r="AK16" s="134">
        <v>1</v>
      </c>
      <c r="AL16" s="134">
        <v>3</v>
      </c>
      <c r="AM16" s="134">
        <v>0</v>
      </c>
      <c r="AN16" s="134">
        <v>0</v>
      </c>
      <c r="AO16" s="134">
        <v>2</v>
      </c>
      <c r="AP16" s="134">
        <v>0</v>
      </c>
      <c r="AQ16" s="134">
        <v>0</v>
      </c>
      <c r="AR16" s="134">
        <v>0</v>
      </c>
      <c r="AS16" s="134">
        <f t="shared" si="5"/>
        <v>6</v>
      </c>
      <c r="AT16" s="134">
        <v>0</v>
      </c>
      <c r="AU16" s="134">
        <v>1</v>
      </c>
      <c r="AV16" s="134">
        <v>2</v>
      </c>
      <c r="AW16" s="134">
        <v>0</v>
      </c>
      <c r="AX16" s="134">
        <v>0</v>
      </c>
      <c r="AY16" s="134">
        <v>1</v>
      </c>
      <c r="AZ16" s="134">
        <v>0</v>
      </c>
      <c r="BA16" s="134">
        <v>0</v>
      </c>
      <c r="BB16" s="134">
        <f t="shared" si="9"/>
        <v>4</v>
      </c>
      <c r="BC16" s="134">
        <v>0</v>
      </c>
      <c r="BD16" s="134">
        <v>1</v>
      </c>
      <c r="BE16" s="134">
        <v>2</v>
      </c>
      <c r="BF16" s="134">
        <v>0</v>
      </c>
      <c r="BG16" s="134">
        <v>0</v>
      </c>
      <c r="BH16" s="134">
        <v>1</v>
      </c>
      <c r="BI16" s="134">
        <v>0</v>
      </c>
      <c r="BJ16" s="134">
        <f t="shared" si="10"/>
        <v>4</v>
      </c>
      <c r="BK16" s="134">
        <v>3</v>
      </c>
      <c r="BL16" s="134">
        <v>1</v>
      </c>
      <c r="BM16" s="134">
        <v>0</v>
      </c>
      <c r="BN16" s="134">
        <v>0</v>
      </c>
      <c r="BO16" s="134">
        <v>15</v>
      </c>
      <c r="BP16" s="134">
        <v>0</v>
      </c>
      <c r="BQ16" s="134">
        <v>0</v>
      </c>
      <c r="BR16" s="134">
        <v>0</v>
      </c>
      <c r="BS16" s="134">
        <v>0</v>
      </c>
      <c r="BT16" s="134">
        <v>0</v>
      </c>
      <c r="BU16" s="134">
        <v>0</v>
      </c>
      <c r="BV16" s="134">
        <v>0</v>
      </c>
      <c r="BW16" s="134">
        <v>0</v>
      </c>
      <c r="BX16" s="134">
        <v>0</v>
      </c>
      <c r="BY16" s="134">
        <v>0</v>
      </c>
      <c r="BZ16" s="134">
        <v>0</v>
      </c>
      <c r="CA16" s="134">
        <f t="shared" si="11"/>
        <v>0</v>
      </c>
      <c r="CB16" s="144">
        <v>0.6</v>
      </c>
      <c r="CC16" s="144">
        <v>1</v>
      </c>
    </row>
    <row r="17" spans="1:82" x14ac:dyDescent="0.35">
      <c r="A17" s="133" t="s">
        <v>175</v>
      </c>
      <c r="B17" s="22">
        <v>1</v>
      </c>
      <c r="C17" s="22"/>
      <c r="D17" s="23" t="s">
        <v>209</v>
      </c>
      <c r="E17" s="135" t="s">
        <v>192</v>
      </c>
      <c r="F17" s="135" t="s">
        <v>192</v>
      </c>
      <c r="G17" s="135" t="s">
        <v>192</v>
      </c>
      <c r="M17" s="136" t="s">
        <v>205</v>
      </c>
      <c r="N17" s="130">
        <v>1</v>
      </c>
      <c r="O17" s="130">
        <v>3</v>
      </c>
      <c r="P17" s="134">
        <v>1</v>
      </c>
      <c r="Q17" s="134">
        <v>1</v>
      </c>
      <c r="R17" s="134">
        <v>3</v>
      </c>
      <c r="S17" s="134" t="s">
        <v>206</v>
      </c>
      <c r="T17" s="134">
        <v>1</v>
      </c>
      <c r="U17" s="134">
        <v>1</v>
      </c>
      <c r="V17" s="134">
        <v>0</v>
      </c>
      <c r="W17" s="134">
        <v>0</v>
      </c>
      <c r="X17" s="134">
        <v>0</v>
      </c>
      <c r="Y17" s="134">
        <f t="shared" si="1"/>
        <v>1</v>
      </c>
      <c r="Z17" s="134">
        <v>0</v>
      </c>
      <c r="AA17" s="134">
        <v>0</v>
      </c>
      <c r="AB17" s="134">
        <v>6</v>
      </c>
      <c r="AC17" s="134">
        <v>6</v>
      </c>
      <c r="AD17" s="134">
        <v>12</v>
      </c>
      <c r="AE17" s="134">
        <v>20</v>
      </c>
      <c r="AF17" s="134">
        <v>7</v>
      </c>
      <c r="AG17" s="134">
        <v>0</v>
      </c>
      <c r="AH17" s="134">
        <v>0</v>
      </c>
      <c r="AI17" s="134">
        <f t="shared" si="3"/>
        <v>51</v>
      </c>
      <c r="AJ17" s="134">
        <v>0</v>
      </c>
      <c r="AK17" s="134">
        <v>0</v>
      </c>
      <c r="AL17" s="134">
        <v>3</v>
      </c>
      <c r="AM17" s="134">
        <v>4</v>
      </c>
      <c r="AN17" s="134">
        <v>8</v>
      </c>
      <c r="AO17" s="134">
        <v>16</v>
      </c>
      <c r="AP17" s="134">
        <v>6</v>
      </c>
      <c r="AQ17" s="134">
        <v>0</v>
      </c>
      <c r="AR17" s="134">
        <v>0</v>
      </c>
      <c r="AS17" s="134">
        <f t="shared" si="5"/>
        <v>37</v>
      </c>
      <c r="AT17" s="134">
        <v>0</v>
      </c>
      <c r="AU17" s="134">
        <v>0</v>
      </c>
      <c r="AV17" s="134">
        <v>3</v>
      </c>
      <c r="AW17" s="134">
        <v>2</v>
      </c>
      <c r="AX17" s="134">
        <v>4</v>
      </c>
      <c r="AY17" s="134">
        <v>4</v>
      </c>
      <c r="AZ17" s="134">
        <v>1</v>
      </c>
      <c r="BA17" s="134">
        <v>0</v>
      </c>
      <c r="BB17" s="134">
        <f t="shared" si="9"/>
        <v>14</v>
      </c>
      <c r="BC17" s="134">
        <v>0</v>
      </c>
      <c r="BD17" s="134">
        <v>0</v>
      </c>
      <c r="BE17" s="134">
        <v>3</v>
      </c>
      <c r="BF17" s="134">
        <v>2</v>
      </c>
      <c r="BG17" s="134">
        <v>4</v>
      </c>
      <c r="BH17" s="134">
        <v>4</v>
      </c>
      <c r="BI17" s="134">
        <v>1</v>
      </c>
      <c r="BJ17" s="134">
        <f t="shared" si="10"/>
        <v>14</v>
      </c>
      <c r="BK17" s="134">
        <v>5</v>
      </c>
      <c r="BL17" s="134">
        <v>9</v>
      </c>
      <c r="BM17" s="134">
        <v>0</v>
      </c>
      <c r="BN17" s="134">
        <v>0</v>
      </c>
      <c r="BO17" s="134">
        <v>51</v>
      </c>
      <c r="BP17" s="134">
        <v>0</v>
      </c>
      <c r="BQ17" s="134">
        <v>0</v>
      </c>
      <c r="BR17" s="134">
        <v>0</v>
      </c>
      <c r="BS17" s="134">
        <v>0</v>
      </c>
      <c r="BT17" s="134">
        <v>0</v>
      </c>
      <c r="BU17" s="134">
        <v>0</v>
      </c>
      <c r="BV17" s="134">
        <v>0</v>
      </c>
      <c r="BW17" s="134">
        <v>0</v>
      </c>
      <c r="BX17" s="134">
        <v>0</v>
      </c>
      <c r="BY17" s="134">
        <v>0</v>
      </c>
      <c r="BZ17" s="134">
        <v>0</v>
      </c>
      <c r="CA17" s="134">
        <f t="shared" si="11"/>
        <v>0</v>
      </c>
      <c r="CB17" s="144">
        <v>0.72499999999999998</v>
      </c>
      <c r="CC17" s="144">
        <v>1</v>
      </c>
    </row>
    <row r="18" spans="1:82" x14ac:dyDescent="0.35">
      <c r="A18" s="133" t="s">
        <v>175</v>
      </c>
      <c r="B18" s="22">
        <v>1</v>
      </c>
      <c r="C18" s="22"/>
      <c r="D18" s="23" t="s">
        <v>209</v>
      </c>
      <c r="E18" s="135" t="s">
        <v>193</v>
      </c>
      <c r="F18" s="135" t="s">
        <v>193</v>
      </c>
      <c r="G18" s="135" t="s">
        <v>193</v>
      </c>
      <c r="M18" s="136" t="s">
        <v>205</v>
      </c>
      <c r="N18" s="130">
        <v>1</v>
      </c>
      <c r="O18" s="130">
        <v>3</v>
      </c>
      <c r="P18" s="134">
        <v>1</v>
      </c>
      <c r="Q18" s="134">
        <v>1</v>
      </c>
      <c r="R18" s="134">
        <v>3</v>
      </c>
      <c r="S18" s="134" t="s">
        <v>206</v>
      </c>
      <c r="T18" s="134">
        <v>1</v>
      </c>
      <c r="U18" s="134">
        <v>1</v>
      </c>
      <c r="V18" s="134">
        <v>0</v>
      </c>
      <c r="W18" s="134">
        <v>0</v>
      </c>
      <c r="X18" s="134">
        <v>0</v>
      </c>
      <c r="Y18" s="134">
        <f t="shared" si="1"/>
        <v>1</v>
      </c>
      <c r="Z18" s="134">
        <v>0</v>
      </c>
      <c r="AA18" s="134">
        <v>4</v>
      </c>
      <c r="AB18" s="134">
        <v>2</v>
      </c>
      <c r="AC18" s="134">
        <v>4</v>
      </c>
      <c r="AD18" s="134">
        <v>4</v>
      </c>
      <c r="AE18" s="134">
        <v>5</v>
      </c>
      <c r="AF18" s="134">
        <v>8</v>
      </c>
      <c r="AG18" s="134">
        <v>6</v>
      </c>
      <c r="AH18" s="134">
        <v>0</v>
      </c>
      <c r="AI18" s="134">
        <f t="shared" si="3"/>
        <v>33</v>
      </c>
      <c r="AJ18" s="134">
        <v>0</v>
      </c>
      <c r="AK18" s="134">
        <v>2</v>
      </c>
      <c r="AL18" s="134">
        <v>1</v>
      </c>
      <c r="AM18" s="134">
        <v>1</v>
      </c>
      <c r="AN18" s="134">
        <v>2</v>
      </c>
      <c r="AO18" s="134">
        <v>0</v>
      </c>
      <c r="AP18" s="134">
        <v>6</v>
      </c>
      <c r="AQ18" s="134">
        <v>0</v>
      </c>
      <c r="AR18" s="134">
        <v>0</v>
      </c>
      <c r="AS18" s="134">
        <f t="shared" si="5"/>
        <v>12</v>
      </c>
      <c r="AT18" s="134">
        <v>0</v>
      </c>
      <c r="AU18" s="134">
        <v>2</v>
      </c>
      <c r="AV18" s="134">
        <v>1</v>
      </c>
      <c r="AW18" s="134">
        <v>3</v>
      </c>
      <c r="AX18" s="134">
        <v>2</v>
      </c>
      <c r="AY18" s="134">
        <v>5</v>
      </c>
      <c r="AZ18" s="134">
        <v>2</v>
      </c>
      <c r="BA18" s="134">
        <v>0</v>
      </c>
      <c r="BB18" s="134">
        <f t="shared" si="9"/>
        <v>15</v>
      </c>
      <c r="BC18" s="134">
        <v>0</v>
      </c>
      <c r="BD18" s="134">
        <v>2</v>
      </c>
      <c r="BE18" s="134">
        <v>1</v>
      </c>
      <c r="BF18" s="134">
        <v>3</v>
      </c>
      <c r="BG18" s="134">
        <v>2</v>
      </c>
      <c r="BH18" s="134">
        <v>5</v>
      </c>
      <c r="BI18" s="134">
        <v>2</v>
      </c>
      <c r="BJ18" s="134">
        <f t="shared" si="10"/>
        <v>15</v>
      </c>
      <c r="BK18" s="134">
        <v>6</v>
      </c>
      <c r="BL18" s="134">
        <v>9</v>
      </c>
      <c r="BM18" s="134">
        <v>0</v>
      </c>
      <c r="BN18" s="134">
        <v>0</v>
      </c>
      <c r="BO18" s="134">
        <v>33</v>
      </c>
      <c r="BP18" s="134">
        <v>0</v>
      </c>
      <c r="BQ18" s="134">
        <v>0</v>
      </c>
      <c r="BR18" s="134">
        <v>0</v>
      </c>
      <c r="BS18" s="134">
        <v>0</v>
      </c>
      <c r="BT18" s="134">
        <v>0</v>
      </c>
      <c r="BU18" s="134">
        <v>0</v>
      </c>
      <c r="BV18" s="134">
        <v>0</v>
      </c>
      <c r="BW18" s="134">
        <v>0</v>
      </c>
      <c r="BX18" s="134">
        <v>0</v>
      </c>
      <c r="BY18" s="134">
        <v>0</v>
      </c>
      <c r="BZ18" s="134">
        <v>0</v>
      </c>
      <c r="CA18" s="134">
        <f t="shared" si="11"/>
        <v>0</v>
      </c>
      <c r="CB18" s="144">
        <v>0.44400000000000001</v>
      </c>
      <c r="CC18" s="144">
        <v>1</v>
      </c>
    </row>
    <row r="19" spans="1:82" x14ac:dyDescent="0.35">
      <c r="A19" s="133" t="s">
        <v>175</v>
      </c>
      <c r="B19" s="22">
        <v>1</v>
      </c>
      <c r="C19" s="22"/>
      <c r="D19" s="23" t="s">
        <v>209</v>
      </c>
      <c r="E19" s="135" t="s">
        <v>194</v>
      </c>
      <c r="F19" s="135" t="s">
        <v>194</v>
      </c>
      <c r="G19" s="135" t="s">
        <v>194</v>
      </c>
      <c r="M19" s="136" t="s">
        <v>205</v>
      </c>
      <c r="N19" s="130">
        <v>1</v>
      </c>
      <c r="O19" s="130">
        <v>3</v>
      </c>
      <c r="P19" s="134">
        <v>1</v>
      </c>
      <c r="Q19" s="134">
        <v>1</v>
      </c>
      <c r="R19" s="134">
        <v>3</v>
      </c>
      <c r="S19" s="134" t="s">
        <v>206</v>
      </c>
      <c r="T19" s="134">
        <v>1</v>
      </c>
      <c r="U19" s="134">
        <v>1</v>
      </c>
      <c r="V19" s="134">
        <v>0</v>
      </c>
      <c r="W19" s="134">
        <v>0</v>
      </c>
      <c r="X19" s="134">
        <v>0</v>
      </c>
      <c r="Y19" s="134">
        <f t="shared" si="1"/>
        <v>1</v>
      </c>
      <c r="Z19" s="134">
        <v>0</v>
      </c>
      <c r="AA19" s="134">
        <v>3</v>
      </c>
      <c r="AB19" s="134">
        <v>3</v>
      </c>
      <c r="AC19" s="134">
        <v>3</v>
      </c>
      <c r="AD19" s="134">
        <v>7</v>
      </c>
      <c r="AE19" s="134">
        <v>6</v>
      </c>
      <c r="AF19" s="134">
        <v>0</v>
      </c>
      <c r="AG19" s="134">
        <v>6</v>
      </c>
      <c r="AH19" s="134">
        <v>0</v>
      </c>
      <c r="AI19" s="134">
        <f t="shared" si="3"/>
        <v>28</v>
      </c>
      <c r="AJ19" s="134">
        <v>0</v>
      </c>
      <c r="AK19" s="134">
        <v>0</v>
      </c>
      <c r="AL19" s="134">
        <v>0</v>
      </c>
      <c r="AM19" s="134">
        <v>0</v>
      </c>
      <c r="AN19" s="134">
        <v>0</v>
      </c>
      <c r="AO19" s="134">
        <v>0</v>
      </c>
      <c r="AP19" s="134">
        <v>0</v>
      </c>
      <c r="AQ19" s="134">
        <v>0</v>
      </c>
      <c r="AR19" s="134">
        <v>0</v>
      </c>
      <c r="AS19" s="134">
        <f t="shared" si="5"/>
        <v>0</v>
      </c>
      <c r="AT19" s="134">
        <v>0</v>
      </c>
      <c r="AU19" s="134">
        <v>3</v>
      </c>
      <c r="AV19" s="134">
        <v>3</v>
      </c>
      <c r="AW19" s="134">
        <v>3</v>
      </c>
      <c r="AX19" s="134">
        <v>7</v>
      </c>
      <c r="AY19" s="134">
        <v>6</v>
      </c>
      <c r="AZ19" s="134">
        <v>0</v>
      </c>
      <c r="BA19" s="134">
        <v>0</v>
      </c>
      <c r="BB19" s="134">
        <f t="shared" si="9"/>
        <v>22</v>
      </c>
      <c r="BC19" s="134">
        <v>0</v>
      </c>
      <c r="BD19" s="134">
        <v>3</v>
      </c>
      <c r="BE19" s="134">
        <v>3</v>
      </c>
      <c r="BF19" s="134">
        <v>3</v>
      </c>
      <c r="BG19" s="134">
        <v>7</v>
      </c>
      <c r="BH19" s="134">
        <v>6</v>
      </c>
      <c r="BI19" s="134">
        <v>0</v>
      </c>
      <c r="BJ19" s="134">
        <v>0</v>
      </c>
      <c r="BK19" s="134">
        <v>6</v>
      </c>
      <c r="BL19" s="134">
        <v>16</v>
      </c>
      <c r="BM19" s="134">
        <v>0</v>
      </c>
      <c r="BN19" s="134">
        <v>0</v>
      </c>
      <c r="BO19" s="134">
        <v>22</v>
      </c>
      <c r="BP19" s="134">
        <v>0</v>
      </c>
      <c r="BQ19" s="134">
        <v>0</v>
      </c>
      <c r="BR19" s="134">
        <v>0</v>
      </c>
      <c r="BS19" s="134">
        <v>0</v>
      </c>
      <c r="BT19" s="134">
        <v>0</v>
      </c>
      <c r="BU19" s="134">
        <v>0</v>
      </c>
      <c r="BV19" s="134">
        <v>0</v>
      </c>
      <c r="BW19" s="134">
        <v>0</v>
      </c>
      <c r="BX19" s="134">
        <v>0</v>
      </c>
      <c r="BY19" s="134">
        <v>0</v>
      </c>
      <c r="BZ19" s="134">
        <v>0</v>
      </c>
      <c r="CA19" s="134">
        <f t="shared" si="11"/>
        <v>0</v>
      </c>
      <c r="CB19" s="144">
        <v>0</v>
      </c>
      <c r="CC19" s="144">
        <v>1</v>
      </c>
    </row>
    <row r="20" spans="1:82" x14ac:dyDescent="0.35">
      <c r="A20" s="133" t="s">
        <v>175</v>
      </c>
      <c r="B20" s="22">
        <v>1</v>
      </c>
      <c r="C20" s="22"/>
      <c r="D20" s="23" t="s">
        <v>209</v>
      </c>
      <c r="E20" s="135" t="s">
        <v>195</v>
      </c>
      <c r="F20" s="135" t="s">
        <v>195</v>
      </c>
      <c r="G20" s="135" t="s">
        <v>195</v>
      </c>
      <c r="M20" s="136" t="s">
        <v>205</v>
      </c>
      <c r="N20" s="130">
        <v>1</v>
      </c>
      <c r="O20" s="130">
        <v>3</v>
      </c>
      <c r="P20" s="134">
        <v>1</v>
      </c>
      <c r="Q20" s="134">
        <v>1</v>
      </c>
      <c r="R20" s="134">
        <v>3</v>
      </c>
      <c r="S20" s="134" t="s">
        <v>206</v>
      </c>
      <c r="T20" s="134">
        <v>1</v>
      </c>
      <c r="U20" s="134">
        <v>1</v>
      </c>
      <c r="V20" s="134">
        <v>0</v>
      </c>
      <c r="W20" s="134">
        <v>0</v>
      </c>
      <c r="X20" s="134">
        <v>0</v>
      </c>
      <c r="Y20" s="134">
        <f t="shared" si="1"/>
        <v>1</v>
      </c>
      <c r="Z20" s="134">
        <v>0</v>
      </c>
      <c r="AA20" s="134">
        <v>0</v>
      </c>
      <c r="AB20" s="134">
        <v>0</v>
      </c>
      <c r="AC20" s="134">
        <v>0</v>
      </c>
      <c r="AD20" s="134">
        <v>1</v>
      </c>
      <c r="AE20" s="134">
        <v>2</v>
      </c>
      <c r="AF20" s="134">
        <v>0</v>
      </c>
      <c r="AG20" s="134">
        <v>0</v>
      </c>
      <c r="AH20" s="134">
        <v>0</v>
      </c>
      <c r="AI20" s="134">
        <f t="shared" si="3"/>
        <v>3</v>
      </c>
      <c r="AJ20" s="134">
        <v>0</v>
      </c>
      <c r="AK20" s="134">
        <v>0</v>
      </c>
      <c r="AL20" s="134">
        <v>0</v>
      </c>
      <c r="AM20" s="134">
        <v>0</v>
      </c>
      <c r="AN20" s="134">
        <v>0</v>
      </c>
      <c r="AO20" s="134">
        <v>0</v>
      </c>
      <c r="AP20" s="134">
        <v>0</v>
      </c>
      <c r="AQ20" s="134">
        <v>0</v>
      </c>
      <c r="AR20" s="134">
        <v>0</v>
      </c>
      <c r="AS20" s="134">
        <f t="shared" si="5"/>
        <v>0</v>
      </c>
      <c r="AT20" s="134">
        <v>0</v>
      </c>
      <c r="AU20" s="134">
        <v>0</v>
      </c>
      <c r="AV20" s="134">
        <v>0</v>
      </c>
      <c r="AW20" s="134">
        <v>0</v>
      </c>
      <c r="AX20" s="134">
        <v>1</v>
      </c>
      <c r="AY20" s="134">
        <v>2</v>
      </c>
      <c r="AZ20" s="134">
        <v>0</v>
      </c>
      <c r="BA20" s="134">
        <v>0</v>
      </c>
      <c r="BB20" s="134">
        <f t="shared" si="9"/>
        <v>3</v>
      </c>
      <c r="BC20" s="134">
        <v>0</v>
      </c>
      <c r="BD20" s="134">
        <v>0</v>
      </c>
      <c r="BE20" s="134">
        <v>0</v>
      </c>
      <c r="BF20" s="134">
        <v>0</v>
      </c>
      <c r="BG20" s="134">
        <v>1</v>
      </c>
      <c r="BH20" s="134">
        <v>2</v>
      </c>
      <c r="BI20" s="134">
        <v>0</v>
      </c>
      <c r="BJ20" s="134">
        <f t="shared" si="10"/>
        <v>3</v>
      </c>
      <c r="BK20" s="134">
        <v>0</v>
      </c>
      <c r="BL20" s="134">
        <v>3</v>
      </c>
      <c r="BM20" s="134">
        <v>0</v>
      </c>
      <c r="BN20" s="134">
        <v>0</v>
      </c>
      <c r="BO20" s="134">
        <v>3</v>
      </c>
      <c r="BP20" s="134">
        <v>0</v>
      </c>
      <c r="BQ20" s="134">
        <v>0</v>
      </c>
      <c r="BR20" s="134">
        <v>0</v>
      </c>
      <c r="BS20" s="134">
        <v>0</v>
      </c>
      <c r="BT20" s="134">
        <v>0</v>
      </c>
      <c r="BU20" s="134">
        <v>0</v>
      </c>
      <c r="BV20" s="134">
        <v>0</v>
      </c>
      <c r="BW20" s="134">
        <v>0</v>
      </c>
      <c r="BX20" s="134">
        <v>0</v>
      </c>
      <c r="BY20" s="134">
        <v>0</v>
      </c>
      <c r="BZ20" s="134">
        <v>0</v>
      </c>
      <c r="CA20" s="134">
        <f t="shared" si="11"/>
        <v>0</v>
      </c>
      <c r="CB20" s="144">
        <v>0</v>
      </c>
      <c r="CC20" s="144">
        <v>1</v>
      </c>
    </row>
    <row r="21" spans="1:82" x14ac:dyDescent="0.35">
      <c r="A21" s="133" t="s">
        <v>175</v>
      </c>
      <c r="B21" s="22">
        <v>1</v>
      </c>
      <c r="C21" s="22"/>
      <c r="D21" s="23" t="s">
        <v>209</v>
      </c>
      <c r="E21" s="135" t="s">
        <v>196</v>
      </c>
      <c r="F21" s="135" t="s">
        <v>196</v>
      </c>
      <c r="G21" s="135" t="s">
        <v>196</v>
      </c>
      <c r="M21" s="136" t="s">
        <v>205</v>
      </c>
      <c r="N21" s="130">
        <v>1</v>
      </c>
      <c r="O21" s="130">
        <v>3</v>
      </c>
      <c r="P21" s="134">
        <v>1</v>
      </c>
      <c r="Q21" s="134">
        <v>1</v>
      </c>
      <c r="R21" s="134">
        <v>3</v>
      </c>
      <c r="S21" s="134" t="s">
        <v>206</v>
      </c>
      <c r="T21" s="134">
        <v>1</v>
      </c>
      <c r="U21" s="134">
        <v>1</v>
      </c>
      <c r="V21" s="134">
        <v>0</v>
      </c>
      <c r="W21" s="134">
        <v>0</v>
      </c>
      <c r="X21" s="134">
        <v>0</v>
      </c>
      <c r="Y21" s="134">
        <f t="shared" si="1"/>
        <v>1</v>
      </c>
      <c r="Z21" s="134">
        <v>0</v>
      </c>
      <c r="AA21" s="134">
        <v>0</v>
      </c>
      <c r="AB21" s="134">
        <v>0</v>
      </c>
      <c r="AC21" s="134">
        <v>0</v>
      </c>
      <c r="AD21" s="134">
        <v>1</v>
      </c>
      <c r="AE21" s="134">
        <v>2</v>
      </c>
      <c r="AF21" s="134">
        <v>1</v>
      </c>
      <c r="AG21" s="134">
        <v>0</v>
      </c>
      <c r="AH21" s="134">
        <v>0</v>
      </c>
      <c r="AI21" s="134">
        <f t="shared" si="3"/>
        <v>4</v>
      </c>
      <c r="AJ21" s="134">
        <v>0</v>
      </c>
      <c r="AK21" s="134">
        <v>0</v>
      </c>
      <c r="AL21" s="134">
        <v>0</v>
      </c>
      <c r="AM21" s="134">
        <v>0</v>
      </c>
      <c r="AN21" s="134">
        <v>0</v>
      </c>
      <c r="AO21" s="134">
        <v>0</v>
      </c>
      <c r="AP21" s="134">
        <v>0</v>
      </c>
      <c r="AQ21" s="134">
        <v>0</v>
      </c>
      <c r="AR21" s="134">
        <v>0</v>
      </c>
      <c r="AS21" s="134">
        <f t="shared" si="5"/>
        <v>0</v>
      </c>
      <c r="AT21" s="134">
        <v>0</v>
      </c>
      <c r="AU21" s="134">
        <v>0</v>
      </c>
      <c r="AV21" s="134">
        <v>0</v>
      </c>
      <c r="AW21" s="134">
        <v>0</v>
      </c>
      <c r="AX21" s="134">
        <v>1</v>
      </c>
      <c r="AY21" s="134">
        <v>2</v>
      </c>
      <c r="AZ21" s="134">
        <v>1</v>
      </c>
      <c r="BA21" s="134">
        <v>0</v>
      </c>
      <c r="BB21" s="134">
        <f t="shared" si="9"/>
        <v>4</v>
      </c>
      <c r="BC21" s="134">
        <v>0</v>
      </c>
      <c r="BD21" s="134">
        <v>0</v>
      </c>
      <c r="BE21" s="134">
        <v>0</v>
      </c>
      <c r="BF21" s="134">
        <v>0</v>
      </c>
      <c r="BG21" s="134">
        <v>1</v>
      </c>
      <c r="BH21" s="134">
        <v>2</v>
      </c>
      <c r="BI21" s="134">
        <v>1</v>
      </c>
      <c r="BJ21" s="134">
        <f t="shared" si="10"/>
        <v>4</v>
      </c>
      <c r="BK21" s="134">
        <v>0</v>
      </c>
      <c r="BL21" s="134">
        <v>0</v>
      </c>
      <c r="BM21" s="134">
        <v>0</v>
      </c>
      <c r="BN21" s="134">
        <v>0</v>
      </c>
      <c r="BO21" s="134">
        <v>4</v>
      </c>
      <c r="BP21" s="134">
        <v>0</v>
      </c>
      <c r="BQ21" s="134">
        <v>0</v>
      </c>
      <c r="BR21" s="134">
        <v>0</v>
      </c>
      <c r="BS21" s="134">
        <v>0</v>
      </c>
      <c r="BT21" s="134">
        <v>0</v>
      </c>
      <c r="BU21" s="134">
        <v>0</v>
      </c>
      <c r="BV21" s="134">
        <v>0</v>
      </c>
      <c r="BW21" s="134">
        <v>0</v>
      </c>
      <c r="BX21" s="134">
        <v>0</v>
      </c>
      <c r="BY21" s="134">
        <v>0</v>
      </c>
      <c r="BZ21" s="134">
        <v>0</v>
      </c>
      <c r="CA21" s="134">
        <f t="shared" si="11"/>
        <v>0</v>
      </c>
      <c r="CB21" s="144">
        <v>0</v>
      </c>
      <c r="CC21" s="144">
        <v>1</v>
      </c>
    </row>
    <row r="22" spans="1:82" x14ac:dyDescent="0.35">
      <c r="A22" s="133" t="s">
        <v>175</v>
      </c>
      <c r="B22" s="22">
        <v>1</v>
      </c>
      <c r="C22" s="22"/>
      <c r="D22" s="23" t="s">
        <v>209</v>
      </c>
      <c r="E22" s="135" t="s">
        <v>197</v>
      </c>
      <c r="F22" s="135" t="s">
        <v>197</v>
      </c>
      <c r="G22" s="135" t="s">
        <v>197</v>
      </c>
      <c r="M22" s="136" t="s">
        <v>205</v>
      </c>
      <c r="N22" s="130">
        <v>1</v>
      </c>
      <c r="O22" s="130">
        <v>3</v>
      </c>
      <c r="P22" s="134">
        <v>1</v>
      </c>
      <c r="Q22" s="134">
        <v>1</v>
      </c>
      <c r="R22" s="134">
        <v>3</v>
      </c>
      <c r="S22" s="134" t="s">
        <v>206</v>
      </c>
      <c r="T22" s="134">
        <v>1</v>
      </c>
      <c r="U22" s="134">
        <v>1</v>
      </c>
      <c r="V22" s="134">
        <v>0</v>
      </c>
      <c r="W22" s="134">
        <v>0</v>
      </c>
      <c r="X22" s="134">
        <v>0</v>
      </c>
      <c r="Y22" s="134">
        <f t="shared" si="1"/>
        <v>1</v>
      </c>
      <c r="Z22" s="134">
        <v>0</v>
      </c>
      <c r="AA22" s="134">
        <v>0</v>
      </c>
      <c r="AB22" s="134">
        <v>0</v>
      </c>
      <c r="AC22" s="134">
        <v>0</v>
      </c>
      <c r="AD22" s="134">
        <v>0</v>
      </c>
      <c r="AE22" s="134">
        <v>1</v>
      </c>
      <c r="AF22" s="134">
        <v>0</v>
      </c>
      <c r="AG22" s="134">
        <v>0</v>
      </c>
      <c r="AH22" s="134">
        <v>0</v>
      </c>
      <c r="AI22" s="134">
        <f t="shared" si="3"/>
        <v>1</v>
      </c>
      <c r="AJ22" s="134">
        <v>0</v>
      </c>
      <c r="AK22" s="134">
        <v>0</v>
      </c>
      <c r="AL22" s="134">
        <v>0</v>
      </c>
      <c r="AM22" s="134">
        <v>0</v>
      </c>
      <c r="AN22" s="134">
        <v>0</v>
      </c>
      <c r="AO22" s="134">
        <v>0</v>
      </c>
      <c r="AP22" s="134">
        <v>0</v>
      </c>
      <c r="AQ22" s="134">
        <v>0</v>
      </c>
      <c r="AR22" s="134">
        <v>0</v>
      </c>
      <c r="AS22" s="134">
        <f t="shared" si="5"/>
        <v>0</v>
      </c>
      <c r="AT22" s="134">
        <v>0</v>
      </c>
      <c r="AU22" s="134">
        <v>0</v>
      </c>
      <c r="AV22" s="134">
        <v>0</v>
      </c>
      <c r="AW22" s="134">
        <v>0</v>
      </c>
      <c r="AX22" s="134">
        <v>0</v>
      </c>
      <c r="AY22" s="134">
        <v>1</v>
      </c>
      <c r="AZ22" s="134">
        <v>0</v>
      </c>
      <c r="BA22" s="134">
        <v>0</v>
      </c>
      <c r="BB22" s="134">
        <f t="shared" si="9"/>
        <v>1</v>
      </c>
      <c r="BC22" s="134">
        <v>0</v>
      </c>
      <c r="BD22" s="134">
        <v>0</v>
      </c>
      <c r="BE22" s="134">
        <v>0</v>
      </c>
      <c r="BF22" s="134">
        <v>0</v>
      </c>
      <c r="BG22" s="134">
        <v>0</v>
      </c>
      <c r="BH22" s="134">
        <v>1</v>
      </c>
      <c r="BI22" s="134">
        <v>0</v>
      </c>
      <c r="BJ22" s="134">
        <f t="shared" si="10"/>
        <v>1</v>
      </c>
      <c r="BK22" s="134">
        <v>0</v>
      </c>
      <c r="BL22" s="134">
        <v>1</v>
      </c>
      <c r="BM22" s="134">
        <v>0</v>
      </c>
      <c r="BN22" s="134">
        <v>0</v>
      </c>
      <c r="BO22" s="134">
        <v>1</v>
      </c>
      <c r="BP22" s="134">
        <v>0</v>
      </c>
      <c r="BQ22" s="134">
        <v>0</v>
      </c>
      <c r="BR22" s="134">
        <v>0</v>
      </c>
      <c r="BS22" s="134">
        <v>0</v>
      </c>
      <c r="BT22" s="134">
        <v>0</v>
      </c>
      <c r="BU22" s="134">
        <v>0</v>
      </c>
      <c r="BV22" s="134">
        <v>0</v>
      </c>
      <c r="BW22" s="134">
        <v>0</v>
      </c>
      <c r="BX22" s="134">
        <v>0</v>
      </c>
      <c r="BY22" s="134">
        <v>0</v>
      </c>
      <c r="BZ22" s="134">
        <v>0</v>
      </c>
      <c r="CA22" s="134">
        <f t="shared" si="11"/>
        <v>0</v>
      </c>
      <c r="CB22" s="144">
        <v>0</v>
      </c>
      <c r="CC22" s="144">
        <v>1</v>
      </c>
    </row>
    <row r="23" spans="1:82" x14ac:dyDescent="0.35">
      <c r="A23" s="133" t="s">
        <v>175</v>
      </c>
      <c r="B23" s="22">
        <v>1</v>
      </c>
      <c r="C23" s="22"/>
      <c r="D23" s="23" t="s">
        <v>209</v>
      </c>
      <c r="E23" s="135" t="s">
        <v>198</v>
      </c>
      <c r="F23" s="135" t="s">
        <v>198</v>
      </c>
      <c r="G23" s="135" t="s">
        <v>198</v>
      </c>
      <c r="M23" s="136" t="s">
        <v>205</v>
      </c>
      <c r="N23" s="130">
        <v>1</v>
      </c>
      <c r="O23" s="130">
        <v>3</v>
      </c>
      <c r="P23" s="134">
        <v>1</v>
      </c>
      <c r="Q23" s="134">
        <v>1</v>
      </c>
      <c r="R23" s="134">
        <v>3</v>
      </c>
      <c r="S23" s="134" t="s">
        <v>206</v>
      </c>
      <c r="T23" s="134">
        <v>1</v>
      </c>
      <c r="U23" s="134">
        <v>1</v>
      </c>
      <c r="V23" s="134">
        <v>0</v>
      </c>
      <c r="W23" s="134">
        <v>0</v>
      </c>
      <c r="X23" s="134">
        <v>0</v>
      </c>
      <c r="Y23" s="134">
        <f t="shared" si="1"/>
        <v>1</v>
      </c>
      <c r="Z23" s="134">
        <v>0</v>
      </c>
      <c r="AA23" s="134">
        <v>2</v>
      </c>
      <c r="AB23" s="134">
        <v>3</v>
      </c>
      <c r="AC23" s="134">
        <v>5</v>
      </c>
      <c r="AD23" s="134">
        <v>2</v>
      </c>
      <c r="AE23" s="134">
        <v>4</v>
      </c>
      <c r="AF23" s="134">
        <v>5</v>
      </c>
      <c r="AG23" s="134">
        <v>0</v>
      </c>
      <c r="AH23" s="134">
        <v>0</v>
      </c>
      <c r="AI23" s="134">
        <f t="shared" si="3"/>
        <v>21</v>
      </c>
      <c r="AJ23" s="134">
        <v>0</v>
      </c>
      <c r="AK23" s="134">
        <v>0</v>
      </c>
      <c r="AL23" s="134">
        <v>0</v>
      </c>
      <c r="AM23" s="134">
        <v>0</v>
      </c>
      <c r="AN23" s="134">
        <v>0</v>
      </c>
      <c r="AO23" s="134">
        <v>0</v>
      </c>
      <c r="AP23" s="134">
        <v>0</v>
      </c>
      <c r="AQ23" s="134">
        <v>0</v>
      </c>
      <c r="AR23" s="134">
        <v>0</v>
      </c>
      <c r="AS23" s="134">
        <f t="shared" si="5"/>
        <v>0</v>
      </c>
      <c r="AT23" s="134">
        <v>0</v>
      </c>
      <c r="AU23" s="134">
        <v>2</v>
      </c>
      <c r="AV23" s="134">
        <v>3</v>
      </c>
      <c r="AW23" s="134">
        <v>5</v>
      </c>
      <c r="AX23" s="134">
        <v>2</v>
      </c>
      <c r="AY23" s="134">
        <v>4</v>
      </c>
      <c r="AZ23" s="134">
        <v>5</v>
      </c>
      <c r="BA23" s="134">
        <v>0</v>
      </c>
      <c r="BB23" s="134">
        <f t="shared" si="9"/>
        <v>21</v>
      </c>
      <c r="BC23" s="134">
        <v>0</v>
      </c>
      <c r="BD23" s="134">
        <v>2</v>
      </c>
      <c r="BE23" s="134">
        <v>3</v>
      </c>
      <c r="BF23" s="134">
        <v>5</v>
      </c>
      <c r="BG23" s="134">
        <v>2</v>
      </c>
      <c r="BH23" s="134">
        <v>4</v>
      </c>
      <c r="BI23" s="134">
        <v>5</v>
      </c>
      <c r="BJ23" s="134">
        <f t="shared" si="10"/>
        <v>21</v>
      </c>
      <c r="BK23" s="134">
        <v>10</v>
      </c>
      <c r="BL23" s="134">
        <v>11</v>
      </c>
      <c r="BM23" s="134">
        <v>0</v>
      </c>
      <c r="BN23" s="134">
        <v>0</v>
      </c>
      <c r="BO23" s="134">
        <v>21</v>
      </c>
      <c r="BP23" s="134">
        <v>0</v>
      </c>
      <c r="BQ23" s="134">
        <v>0</v>
      </c>
      <c r="BR23" s="134">
        <v>0</v>
      </c>
      <c r="BS23" s="134">
        <v>0</v>
      </c>
      <c r="BT23" s="134">
        <v>0</v>
      </c>
      <c r="BU23" s="134">
        <v>0</v>
      </c>
      <c r="BV23" s="134">
        <v>0</v>
      </c>
      <c r="BW23" s="134">
        <v>0</v>
      </c>
      <c r="BX23" s="134">
        <v>0</v>
      </c>
      <c r="BY23" s="134">
        <v>0</v>
      </c>
      <c r="BZ23" s="134">
        <v>0</v>
      </c>
      <c r="CA23" s="134">
        <f t="shared" si="11"/>
        <v>0</v>
      </c>
      <c r="CB23" s="144">
        <v>0</v>
      </c>
      <c r="CC23" s="144">
        <v>1</v>
      </c>
    </row>
    <row r="24" spans="1:82" x14ac:dyDescent="0.35">
      <c r="A24" s="133" t="s">
        <v>175</v>
      </c>
      <c r="B24" s="22">
        <v>1</v>
      </c>
      <c r="C24" s="22"/>
      <c r="D24" s="23" t="s">
        <v>209</v>
      </c>
      <c r="E24" s="135" t="s">
        <v>199</v>
      </c>
      <c r="F24" s="135" t="s">
        <v>199</v>
      </c>
      <c r="G24" s="135" t="s">
        <v>199</v>
      </c>
      <c r="M24" s="136" t="s">
        <v>205</v>
      </c>
      <c r="N24" s="130">
        <v>1</v>
      </c>
      <c r="O24" s="130">
        <v>3</v>
      </c>
      <c r="P24" s="134">
        <v>1</v>
      </c>
      <c r="Q24" s="134">
        <v>1</v>
      </c>
      <c r="R24" s="134">
        <v>3</v>
      </c>
      <c r="S24" s="134" t="s">
        <v>206</v>
      </c>
      <c r="T24" s="134">
        <v>1</v>
      </c>
      <c r="U24" s="134">
        <v>1</v>
      </c>
      <c r="V24" s="134">
        <v>0</v>
      </c>
      <c r="W24" s="134">
        <v>0</v>
      </c>
      <c r="X24" s="134">
        <v>0</v>
      </c>
      <c r="Y24" s="134">
        <f t="shared" si="1"/>
        <v>1</v>
      </c>
      <c r="Z24" s="134">
        <v>0</v>
      </c>
      <c r="AA24" s="134">
        <v>1</v>
      </c>
      <c r="AB24" s="134">
        <v>1</v>
      </c>
      <c r="AC24" s="134">
        <v>2</v>
      </c>
      <c r="AD24" s="134">
        <v>2</v>
      </c>
      <c r="AE24" s="134">
        <v>2</v>
      </c>
      <c r="AF24" s="134">
        <v>2</v>
      </c>
      <c r="AG24" s="134">
        <v>0</v>
      </c>
      <c r="AH24" s="134">
        <v>0</v>
      </c>
      <c r="AI24" s="134">
        <f t="shared" si="3"/>
        <v>10</v>
      </c>
      <c r="AJ24" s="134">
        <v>0</v>
      </c>
      <c r="AK24" s="134">
        <v>0</v>
      </c>
      <c r="AL24" s="134">
        <v>0</v>
      </c>
      <c r="AM24" s="134">
        <v>0</v>
      </c>
      <c r="AN24" s="134">
        <v>0</v>
      </c>
      <c r="AO24" s="134">
        <v>0</v>
      </c>
      <c r="AP24" s="134">
        <v>0</v>
      </c>
      <c r="AQ24" s="134">
        <v>0</v>
      </c>
      <c r="AR24" s="134">
        <v>0</v>
      </c>
      <c r="AS24" s="134">
        <f t="shared" si="5"/>
        <v>0</v>
      </c>
      <c r="AT24" s="134">
        <v>0</v>
      </c>
      <c r="AU24" s="134">
        <v>1</v>
      </c>
      <c r="AV24" s="134">
        <v>1</v>
      </c>
      <c r="AW24" s="134">
        <v>2</v>
      </c>
      <c r="AX24" s="134">
        <v>2</v>
      </c>
      <c r="AY24" s="134">
        <v>2</v>
      </c>
      <c r="AZ24" s="134">
        <v>2</v>
      </c>
      <c r="BA24" s="134">
        <v>0</v>
      </c>
      <c r="BB24" s="134">
        <f t="shared" si="9"/>
        <v>10</v>
      </c>
      <c r="BC24" s="134">
        <v>0</v>
      </c>
      <c r="BD24" s="134">
        <v>1</v>
      </c>
      <c r="BE24" s="134">
        <v>1</v>
      </c>
      <c r="BF24" s="134">
        <v>2</v>
      </c>
      <c r="BG24" s="134">
        <v>2</v>
      </c>
      <c r="BH24" s="134">
        <v>2</v>
      </c>
      <c r="BI24" s="134">
        <v>2</v>
      </c>
      <c r="BJ24" s="134">
        <f t="shared" si="10"/>
        <v>10</v>
      </c>
      <c r="BK24" s="134">
        <v>4</v>
      </c>
      <c r="BL24" s="134">
        <v>6</v>
      </c>
      <c r="BM24" s="134">
        <v>0</v>
      </c>
      <c r="BN24" s="134">
        <v>0</v>
      </c>
      <c r="BO24" s="134">
        <v>10</v>
      </c>
      <c r="BP24" s="134">
        <v>0</v>
      </c>
      <c r="BQ24" s="134">
        <v>0</v>
      </c>
      <c r="BR24" s="134">
        <v>0</v>
      </c>
      <c r="BS24" s="134">
        <v>0</v>
      </c>
      <c r="BT24" s="134">
        <v>0</v>
      </c>
      <c r="BU24" s="134">
        <v>0</v>
      </c>
      <c r="BV24" s="134">
        <v>0</v>
      </c>
      <c r="BW24" s="134">
        <v>0</v>
      </c>
      <c r="BX24" s="134">
        <v>0</v>
      </c>
      <c r="BY24" s="134">
        <v>0</v>
      </c>
      <c r="BZ24" s="134">
        <v>0</v>
      </c>
      <c r="CA24" s="134">
        <f t="shared" si="11"/>
        <v>0</v>
      </c>
      <c r="CB24" s="144">
        <v>0</v>
      </c>
      <c r="CC24" s="144">
        <v>1</v>
      </c>
    </row>
    <row r="25" spans="1:82" x14ac:dyDescent="0.35">
      <c r="A25" s="133" t="s">
        <v>175</v>
      </c>
      <c r="B25" s="22">
        <v>1</v>
      </c>
      <c r="C25" s="22"/>
      <c r="D25" s="23" t="s">
        <v>209</v>
      </c>
      <c r="E25" s="135" t="s">
        <v>200</v>
      </c>
      <c r="F25" s="135" t="s">
        <v>200</v>
      </c>
      <c r="G25" s="135" t="s">
        <v>200</v>
      </c>
      <c r="M25" s="136" t="s">
        <v>205</v>
      </c>
      <c r="N25" s="130">
        <v>1</v>
      </c>
      <c r="O25" s="130">
        <v>3</v>
      </c>
      <c r="P25" s="134">
        <v>1</v>
      </c>
      <c r="Q25" s="134">
        <v>1</v>
      </c>
      <c r="R25" s="134">
        <v>3</v>
      </c>
      <c r="S25" s="134" t="s">
        <v>206</v>
      </c>
      <c r="T25" s="134">
        <v>1</v>
      </c>
      <c r="U25" s="134">
        <v>1</v>
      </c>
      <c r="V25" s="134">
        <v>0</v>
      </c>
      <c r="W25" s="134">
        <v>0</v>
      </c>
      <c r="X25" s="134">
        <v>0</v>
      </c>
      <c r="Y25" s="134">
        <f t="shared" si="1"/>
        <v>1</v>
      </c>
      <c r="Z25" s="134">
        <v>0</v>
      </c>
      <c r="AA25" s="134">
        <v>0</v>
      </c>
      <c r="AB25" s="134">
        <v>1</v>
      </c>
      <c r="AC25" s="134">
        <v>0</v>
      </c>
      <c r="AD25" s="134">
        <v>0</v>
      </c>
      <c r="AE25" s="134">
        <v>2</v>
      </c>
      <c r="AF25" s="134">
        <v>0</v>
      </c>
      <c r="AG25" s="134">
        <v>0</v>
      </c>
      <c r="AH25" s="134">
        <v>0</v>
      </c>
      <c r="AI25" s="134">
        <f t="shared" si="3"/>
        <v>3</v>
      </c>
      <c r="AJ25" s="134">
        <v>0</v>
      </c>
      <c r="AK25" s="134">
        <v>0</v>
      </c>
      <c r="AL25" s="134">
        <v>0</v>
      </c>
      <c r="AM25" s="134">
        <v>0</v>
      </c>
      <c r="AN25" s="134">
        <v>0</v>
      </c>
      <c r="AO25" s="134">
        <v>0</v>
      </c>
      <c r="AP25" s="134">
        <v>0</v>
      </c>
      <c r="AQ25" s="134">
        <v>0</v>
      </c>
      <c r="AR25" s="134">
        <v>0</v>
      </c>
      <c r="AS25" s="134">
        <f t="shared" si="5"/>
        <v>0</v>
      </c>
      <c r="AT25" s="134">
        <v>0</v>
      </c>
      <c r="AU25" s="134">
        <v>0</v>
      </c>
      <c r="AV25" s="134">
        <v>1</v>
      </c>
      <c r="AW25" s="134">
        <v>0</v>
      </c>
      <c r="AX25" s="134">
        <v>0</v>
      </c>
      <c r="AY25" s="134">
        <v>2</v>
      </c>
      <c r="AZ25" s="134">
        <v>0</v>
      </c>
      <c r="BA25" s="134">
        <v>0</v>
      </c>
      <c r="BB25" s="134">
        <f t="shared" si="9"/>
        <v>3</v>
      </c>
      <c r="BC25" s="134">
        <v>0</v>
      </c>
      <c r="BD25" s="134">
        <v>0</v>
      </c>
      <c r="BE25" s="134">
        <v>1</v>
      </c>
      <c r="BF25" s="134">
        <v>0</v>
      </c>
      <c r="BG25" s="134">
        <v>0</v>
      </c>
      <c r="BH25" s="134">
        <v>2</v>
      </c>
      <c r="BI25" s="134">
        <v>0</v>
      </c>
      <c r="BJ25" s="134">
        <f t="shared" si="10"/>
        <v>3</v>
      </c>
      <c r="BK25" s="134">
        <v>1</v>
      </c>
      <c r="BL25" s="134">
        <v>2</v>
      </c>
      <c r="BM25" s="134">
        <v>0</v>
      </c>
      <c r="BN25" s="134">
        <v>0</v>
      </c>
      <c r="BO25" s="134">
        <v>3</v>
      </c>
      <c r="BP25" s="134">
        <v>0</v>
      </c>
      <c r="BQ25" s="134">
        <v>0</v>
      </c>
      <c r="BR25" s="134">
        <v>0</v>
      </c>
      <c r="BS25" s="134">
        <v>0</v>
      </c>
      <c r="BT25" s="134">
        <v>0</v>
      </c>
      <c r="BU25" s="134">
        <v>0</v>
      </c>
      <c r="BV25" s="134">
        <v>0</v>
      </c>
      <c r="BW25" s="134">
        <v>0</v>
      </c>
      <c r="BX25" s="134">
        <v>0</v>
      </c>
      <c r="BY25" s="134">
        <v>0</v>
      </c>
      <c r="BZ25" s="134">
        <v>0</v>
      </c>
      <c r="CA25" s="134">
        <f t="shared" si="11"/>
        <v>0</v>
      </c>
      <c r="CB25" s="144">
        <v>0</v>
      </c>
      <c r="CC25" s="144">
        <v>1</v>
      </c>
    </row>
    <row r="26" spans="1:82" x14ac:dyDescent="0.35">
      <c r="A26" s="133" t="s">
        <v>175</v>
      </c>
      <c r="B26" s="22">
        <v>1</v>
      </c>
      <c r="C26" s="22"/>
      <c r="D26" s="23" t="s">
        <v>209</v>
      </c>
      <c r="E26" s="135" t="s">
        <v>201</v>
      </c>
      <c r="F26" s="135" t="s">
        <v>201</v>
      </c>
      <c r="G26" s="135" t="s">
        <v>201</v>
      </c>
      <c r="M26" s="136" t="s">
        <v>205</v>
      </c>
      <c r="N26" s="130">
        <v>1</v>
      </c>
      <c r="O26" s="130">
        <v>3</v>
      </c>
      <c r="P26" s="134">
        <v>1</v>
      </c>
      <c r="Q26" s="134">
        <v>1</v>
      </c>
      <c r="R26" s="134">
        <v>3</v>
      </c>
      <c r="S26" s="134" t="s">
        <v>206</v>
      </c>
      <c r="T26" s="134">
        <v>1</v>
      </c>
      <c r="U26" s="134">
        <v>1</v>
      </c>
      <c r="V26" s="134">
        <v>0</v>
      </c>
      <c r="W26" s="134">
        <v>0</v>
      </c>
      <c r="X26" s="134">
        <v>0</v>
      </c>
      <c r="Y26" s="134">
        <f t="shared" si="1"/>
        <v>1</v>
      </c>
      <c r="Z26" s="134">
        <v>0</v>
      </c>
      <c r="AA26" s="134">
        <v>1</v>
      </c>
      <c r="AB26" s="134">
        <v>1</v>
      </c>
      <c r="AC26" s="134">
        <v>1</v>
      </c>
      <c r="AD26" s="134">
        <v>0</v>
      </c>
      <c r="AE26" s="134">
        <v>2</v>
      </c>
      <c r="AF26" s="134">
        <v>0</v>
      </c>
      <c r="AG26" s="134">
        <v>0</v>
      </c>
      <c r="AH26" s="134">
        <v>0</v>
      </c>
      <c r="AI26" s="134">
        <f t="shared" si="3"/>
        <v>5</v>
      </c>
      <c r="AJ26" s="134">
        <v>0</v>
      </c>
      <c r="AK26" s="134">
        <v>0</v>
      </c>
      <c r="AL26" s="134">
        <v>0</v>
      </c>
      <c r="AM26" s="134">
        <v>0</v>
      </c>
      <c r="AN26" s="134">
        <v>0</v>
      </c>
      <c r="AO26" s="134">
        <v>2</v>
      </c>
      <c r="AP26" s="134">
        <v>0</v>
      </c>
      <c r="AQ26" s="134">
        <v>0</v>
      </c>
      <c r="AR26" s="134">
        <v>0</v>
      </c>
      <c r="AS26" s="134">
        <f t="shared" si="5"/>
        <v>2</v>
      </c>
      <c r="AT26" s="134">
        <v>0</v>
      </c>
      <c r="AU26" s="134">
        <v>1</v>
      </c>
      <c r="AV26" s="134">
        <v>1</v>
      </c>
      <c r="AW26" s="134">
        <v>1</v>
      </c>
      <c r="AX26" s="134">
        <v>0</v>
      </c>
      <c r="AY26" s="134">
        <v>0</v>
      </c>
      <c r="AZ26" s="134">
        <v>0</v>
      </c>
      <c r="BA26" s="134">
        <v>0</v>
      </c>
      <c r="BB26" s="134">
        <f t="shared" si="9"/>
        <v>3</v>
      </c>
      <c r="BC26" s="134">
        <v>0</v>
      </c>
      <c r="BD26" s="134">
        <v>1</v>
      </c>
      <c r="BE26" s="134">
        <v>1</v>
      </c>
      <c r="BF26" s="134">
        <v>1</v>
      </c>
      <c r="BG26" s="134">
        <v>0</v>
      </c>
      <c r="BH26" s="134">
        <v>0</v>
      </c>
      <c r="BI26" s="134">
        <v>0</v>
      </c>
      <c r="BJ26" s="134">
        <f t="shared" si="10"/>
        <v>3</v>
      </c>
      <c r="BK26" s="134">
        <v>3</v>
      </c>
      <c r="BL26" s="134">
        <v>0</v>
      </c>
      <c r="BM26" s="134">
        <v>0</v>
      </c>
      <c r="BN26" s="134">
        <v>0</v>
      </c>
      <c r="BO26" s="134">
        <v>5</v>
      </c>
      <c r="BP26" s="134">
        <v>0</v>
      </c>
      <c r="BQ26" s="134">
        <v>0</v>
      </c>
      <c r="BR26" s="134">
        <v>0</v>
      </c>
      <c r="BS26" s="134">
        <v>0</v>
      </c>
      <c r="BT26" s="134">
        <v>0</v>
      </c>
      <c r="BU26" s="134">
        <v>0</v>
      </c>
      <c r="BV26" s="134">
        <v>0</v>
      </c>
      <c r="BW26" s="134">
        <v>0</v>
      </c>
      <c r="BX26" s="134">
        <v>0</v>
      </c>
      <c r="BY26" s="134">
        <v>0</v>
      </c>
      <c r="BZ26" s="134">
        <v>0</v>
      </c>
      <c r="CA26" s="134">
        <f t="shared" si="11"/>
        <v>0</v>
      </c>
      <c r="CB26" s="144">
        <v>0.4</v>
      </c>
      <c r="CC26" s="144">
        <v>1</v>
      </c>
    </row>
    <row r="27" spans="1:82" x14ac:dyDescent="0.35">
      <c r="A27" s="133" t="s">
        <v>175</v>
      </c>
      <c r="B27" s="22">
        <v>1</v>
      </c>
      <c r="C27" s="22"/>
      <c r="D27" s="23" t="s">
        <v>209</v>
      </c>
      <c r="E27" s="135" t="s">
        <v>202</v>
      </c>
      <c r="F27" s="135" t="s">
        <v>202</v>
      </c>
      <c r="G27" s="135" t="s">
        <v>202</v>
      </c>
      <c r="M27" s="136" t="s">
        <v>205</v>
      </c>
      <c r="N27" s="130">
        <v>1</v>
      </c>
      <c r="O27" s="130">
        <v>3</v>
      </c>
      <c r="P27" s="134">
        <v>1</v>
      </c>
      <c r="Q27" s="134">
        <v>1</v>
      </c>
      <c r="R27" s="134">
        <v>3</v>
      </c>
      <c r="S27" s="134" t="s">
        <v>206</v>
      </c>
      <c r="T27" s="134">
        <v>1</v>
      </c>
      <c r="U27" s="134">
        <v>1</v>
      </c>
      <c r="V27" s="134">
        <v>0</v>
      </c>
      <c r="W27" s="134">
        <v>0</v>
      </c>
      <c r="X27" s="134">
        <v>0</v>
      </c>
      <c r="Y27" s="134">
        <f t="shared" si="1"/>
        <v>1</v>
      </c>
      <c r="Z27" s="134">
        <v>0</v>
      </c>
      <c r="AA27" s="134">
        <v>0</v>
      </c>
      <c r="AB27" s="134">
        <v>0</v>
      </c>
      <c r="AC27" s="134">
        <v>0</v>
      </c>
      <c r="AD27" s="134">
        <v>1</v>
      </c>
      <c r="AE27" s="134">
        <v>0</v>
      </c>
      <c r="AF27" s="134">
        <v>0</v>
      </c>
      <c r="AG27" s="134">
        <v>0</v>
      </c>
      <c r="AH27" s="134">
        <v>0</v>
      </c>
      <c r="AI27" s="134">
        <f t="shared" si="3"/>
        <v>1</v>
      </c>
      <c r="AJ27" s="134">
        <v>0</v>
      </c>
      <c r="AK27" s="134">
        <v>0</v>
      </c>
      <c r="AL27" s="134">
        <v>0</v>
      </c>
      <c r="AM27" s="134">
        <v>0</v>
      </c>
      <c r="AN27" s="134">
        <v>0</v>
      </c>
      <c r="AO27" s="134">
        <v>0</v>
      </c>
      <c r="AP27" s="134">
        <v>0</v>
      </c>
      <c r="AQ27" s="134">
        <v>0</v>
      </c>
      <c r="AR27" s="134">
        <v>0</v>
      </c>
      <c r="AS27" s="134">
        <f t="shared" si="5"/>
        <v>0</v>
      </c>
      <c r="AT27" s="134">
        <v>0</v>
      </c>
      <c r="AU27" s="134">
        <v>0</v>
      </c>
      <c r="AV27" s="134">
        <v>0</v>
      </c>
      <c r="AW27" s="134">
        <v>0</v>
      </c>
      <c r="AX27" s="134">
        <v>1</v>
      </c>
      <c r="AY27" s="134">
        <v>0</v>
      </c>
      <c r="AZ27" s="134">
        <v>0</v>
      </c>
      <c r="BA27" s="134">
        <v>0</v>
      </c>
      <c r="BB27" s="134">
        <f t="shared" si="9"/>
        <v>1</v>
      </c>
      <c r="BC27" s="134">
        <v>0</v>
      </c>
      <c r="BD27" s="134">
        <v>0</v>
      </c>
      <c r="BE27" s="134">
        <v>0</v>
      </c>
      <c r="BF27" s="134">
        <v>0</v>
      </c>
      <c r="BG27" s="134">
        <v>1</v>
      </c>
      <c r="BH27" s="134">
        <v>0</v>
      </c>
      <c r="BI27" s="134">
        <v>0</v>
      </c>
      <c r="BJ27" s="134">
        <f t="shared" si="10"/>
        <v>1</v>
      </c>
      <c r="BK27" s="134">
        <v>0</v>
      </c>
      <c r="BL27" s="134">
        <v>1</v>
      </c>
      <c r="BM27" s="134">
        <v>0</v>
      </c>
      <c r="BN27" s="134">
        <v>0</v>
      </c>
      <c r="BO27" s="134">
        <v>2</v>
      </c>
      <c r="BP27" s="134">
        <v>0</v>
      </c>
      <c r="BQ27" s="134">
        <v>0</v>
      </c>
      <c r="BR27" s="134">
        <v>0</v>
      </c>
      <c r="BS27" s="134">
        <v>0</v>
      </c>
      <c r="BT27" s="134">
        <v>0</v>
      </c>
      <c r="BU27" s="134">
        <v>0</v>
      </c>
      <c r="BV27" s="134">
        <v>0</v>
      </c>
      <c r="BW27" s="134">
        <v>0</v>
      </c>
      <c r="BX27" s="134">
        <v>0</v>
      </c>
      <c r="BY27" s="134">
        <v>0</v>
      </c>
      <c r="BZ27" s="134">
        <v>0</v>
      </c>
      <c r="CA27" s="134">
        <f t="shared" si="11"/>
        <v>0</v>
      </c>
      <c r="CB27" s="144">
        <v>0</v>
      </c>
      <c r="CC27" s="144">
        <v>1</v>
      </c>
    </row>
    <row r="28" spans="1:82" x14ac:dyDescent="0.35">
      <c r="A28" s="133" t="s">
        <v>175</v>
      </c>
      <c r="B28" s="22">
        <v>1</v>
      </c>
      <c r="C28" s="22"/>
      <c r="D28" s="23" t="s">
        <v>209</v>
      </c>
      <c r="E28" s="135" t="s">
        <v>203</v>
      </c>
      <c r="F28" s="135" t="s">
        <v>203</v>
      </c>
      <c r="G28" s="135" t="s">
        <v>203</v>
      </c>
      <c r="M28" s="136" t="s">
        <v>205</v>
      </c>
      <c r="N28" s="130">
        <v>1</v>
      </c>
      <c r="O28" s="130">
        <v>3</v>
      </c>
      <c r="P28" s="134">
        <v>1</v>
      </c>
      <c r="Q28" s="134">
        <v>1</v>
      </c>
      <c r="R28" s="134">
        <v>3</v>
      </c>
      <c r="S28" s="134" t="s">
        <v>206</v>
      </c>
      <c r="T28" s="134">
        <v>1</v>
      </c>
      <c r="U28" s="134">
        <v>1</v>
      </c>
      <c r="V28" s="134">
        <v>0</v>
      </c>
      <c r="W28" s="134">
        <v>0</v>
      </c>
      <c r="X28" s="134">
        <v>0</v>
      </c>
      <c r="Y28" s="134">
        <f t="shared" si="1"/>
        <v>1</v>
      </c>
      <c r="Z28" s="134">
        <v>0</v>
      </c>
      <c r="AA28" s="134">
        <v>0</v>
      </c>
      <c r="AB28" s="134">
        <v>0</v>
      </c>
      <c r="AC28" s="134">
        <v>0</v>
      </c>
      <c r="AD28" s="134">
        <v>0</v>
      </c>
      <c r="AE28" s="134">
        <v>2</v>
      </c>
      <c r="AF28" s="134">
        <v>0</v>
      </c>
      <c r="AG28" s="134">
        <v>0</v>
      </c>
      <c r="AH28" s="134">
        <v>0</v>
      </c>
      <c r="AI28" s="134">
        <f t="shared" si="3"/>
        <v>2</v>
      </c>
      <c r="AJ28" s="134">
        <v>0</v>
      </c>
      <c r="AK28" s="134">
        <v>0</v>
      </c>
      <c r="AL28" s="134">
        <v>0</v>
      </c>
      <c r="AM28" s="134">
        <v>0</v>
      </c>
      <c r="AN28" s="134">
        <v>0</v>
      </c>
      <c r="AO28" s="134">
        <v>0</v>
      </c>
      <c r="AP28" s="134">
        <v>0</v>
      </c>
      <c r="AQ28" s="134">
        <v>0</v>
      </c>
      <c r="AR28" s="134">
        <v>0</v>
      </c>
      <c r="AS28" s="134">
        <f t="shared" si="5"/>
        <v>0</v>
      </c>
      <c r="AT28" s="134">
        <v>0</v>
      </c>
      <c r="AU28" s="134">
        <v>0</v>
      </c>
      <c r="AV28" s="134">
        <v>0</v>
      </c>
      <c r="AW28" s="134">
        <v>0</v>
      </c>
      <c r="AX28" s="134">
        <v>0</v>
      </c>
      <c r="AY28" s="134">
        <v>2</v>
      </c>
      <c r="AZ28" s="134">
        <v>0</v>
      </c>
      <c r="BA28" s="134">
        <v>0</v>
      </c>
      <c r="BB28" s="134">
        <f t="shared" si="9"/>
        <v>2</v>
      </c>
      <c r="BC28" s="134">
        <v>0</v>
      </c>
      <c r="BD28" s="134">
        <v>0</v>
      </c>
      <c r="BE28" s="134">
        <v>0</v>
      </c>
      <c r="BF28" s="134">
        <v>0</v>
      </c>
      <c r="BG28" s="134">
        <v>0</v>
      </c>
      <c r="BH28" s="134">
        <v>2</v>
      </c>
      <c r="BI28" s="134">
        <v>0</v>
      </c>
      <c r="BJ28" s="134">
        <f t="shared" si="10"/>
        <v>2</v>
      </c>
      <c r="BK28" s="134">
        <v>0</v>
      </c>
      <c r="BL28" s="134">
        <v>2</v>
      </c>
      <c r="BM28" s="134">
        <v>0</v>
      </c>
      <c r="BN28" s="134">
        <v>0</v>
      </c>
      <c r="BO28" s="134">
        <v>2</v>
      </c>
      <c r="BP28" s="134">
        <v>0</v>
      </c>
      <c r="BQ28" s="134">
        <v>0</v>
      </c>
      <c r="BR28" s="134">
        <v>0</v>
      </c>
      <c r="BS28" s="134">
        <v>0</v>
      </c>
      <c r="BT28" s="134">
        <v>0</v>
      </c>
      <c r="BU28" s="134">
        <v>0</v>
      </c>
      <c r="BV28" s="134">
        <v>0</v>
      </c>
      <c r="BW28" s="134">
        <v>0</v>
      </c>
      <c r="BX28" s="134">
        <v>0</v>
      </c>
      <c r="BY28" s="134">
        <v>0</v>
      </c>
      <c r="BZ28" s="134">
        <v>0</v>
      </c>
      <c r="CA28" s="134">
        <f t="shared" si="11"/>
        <v>0</v>
      </c>
      <c r="CB28" s="144">
        <v>0</v>
      </c>
      <c r="CC28" s="144">
        <v>1</v>
      </c>
    </row>
    <row r="29" spans="1:82" x14ac:dyDescent="0.35">
      <c r="A29" s="133" t="s">
        <v>175</v>
      </c>
      <c r="B29" s="22">
        <v>1</v>
      </c>
      <c r="C29" s="22"/>
      <c r="D29" s="23" t="s">
        <v>209</v>
      </c>
      <c r="E29" s="135" t="s">
        <v>204</v>
      </c>
      <c r="F29" s="135" t="s">
        <v>204</v>
      </c>
      <c r="G29" s="135" t="s">
        <v>204</v>
      </c>
      <c r="M29" s="136" t="s">
        <v>205</v>
      </c>
      <c r="N29" s="130">
        <v>1</v>
      </c>
      <c r="O29" s="130">
        <v>3</v>
      </c>
      <c r="P29" s="134">
        <v>1</v>
      </c>
      <c r="Q29" s="134">
        <v>1</v>
      </c>
      <c r="R29" s="134">
        <v>3</v>
      </c>
      <c r="S29" s="134" t="s">
        <v>206</v>
      </c>
      <c r="T29" s="134">
        <v>1</v>
      </c>
      <c r="U29" s="134">
        <v>1</v>
      </c>
      <c r="V29" s="134">
        <v>0</v>
      </c>
      <c r="W29" s="134">
        <v>0</v>
      </c>
      <c r="X29" s="134">
        <v>0</v>
      </c>
      <c r="Y29" s="134">
        <f t="shared" si="1"/>
        <v>1</v>
      </c>
      <c r="Z29" s="134">
        <v>0</v>
      </c>
      <c r="AA29" s="134">
        <v>0</v>
      </c>
      <c r="AB29" s="134">
        <v>1</v>
      </c>
      <c r="AC29" s="134">
        <v>1</v>
      </c>
      <c r="AD29" s="134">
        <v>0</v>
      </c>
      <c r="AE29" s="134">
        <v>2</v>
      </c>
      <c r="AF29" s="134">
        <v>0</v>
      </c>
      <c r="AG29" s="134">
        <v>0</v>
      </c>
      <c r="AH29" s="134">
        <v>0</v>
      </c>
      <c r="AI29" s="134">
        <f t="shared" si="3"/>
        <v>4</v>
      </c>
      <c r="AJ29" s="134">
        <v>0</v>
      </c>
      <c r="AK29" s="134">
        <v>0</v>
      </c>
      <c r="AL29" s="134">
        <v>0</v>
      </c>
      <c r="AM29" s="134">
        <v>0</v>
      </c>
      <c r="AN29" s="134">
        <v>0</v>
      </c>
      <c r="AO29" s="134">
        <v>1</v>
      </c>
      <c r="AP29" s="134">
        <v>0</v>
      </c>
      <c r="AQ29" s="134">
        <v>0</v>
      </c>
      <c r="AR29" s="134">
        <v>0</v>
      </c>
      <c r="AS29" s="134">
        <f t="shared" si="5"/>
        <v>1</v>
      </c>
      <c r="AT29" s="134">
        <v>0</v>
      </c>
      <c r="AU29" s="134">
        <v>0</v>
      </c>
      <c r="AV29" s="134">
        <v>1</v>
      </c>
      <c r="AW29" s="134">
        <v>1</v>
      </c>
      <c r="AX29" s="134">
        <v>0</v>
      </c>
      <c r="AY29" s="134">
        <v>1</v>
      </c>
      <c r="AZ29" s="134">
        <v>0</v>
      </c>
      <c r="BA29" s="134">
        <v>0</v>
      </c>
      <c r="BB29" s="134">
        <f t="shared" si="9"/>
        <v>3</v>
      </c>
      <c r="BC29" s="134">
        <v>0</v>
      </c>
      <c r="BD29" s="134">
        <v>0</v>
      </c>
      <c r="BE29" s="134">
        <v>1</v>
      </c>
      <c r="BF29" s="134">
        <v>1</v>
      </c>
      <c r="BG29" s="134">
        <v>0</v>
      </c>
      <c r="BH29" s="134">
        <v>1</v>
      </c>
      <c r="BI29" s="134">
        <v>0</v>
      </c>
      <c r="BJ29" s="134">
        <f t="shared" si="10"/>
        <v>3</v>
      </c>
      <c r="BK29" s="134">
        <v>2</v>
      </c>
      <c r="BL29" s="134">
        <v>1</v>
      </c>
      <c r="BM29" s="134">
        <v>0</v>
      </c>
      <c r="BN29" s="134">
        <v>0</v>
      </c>
      <c r="BO29" s="134">
        <v>4</v>
      </c>
      <c r="BP29" s="134">
        <v>0</v>
      </c>
      <c r="BQ29" s="134">
        <v>0</v>
      </c>
      <c r="BR29" s="134">
        <v>0</v>
      </c>
      <c r="BS29" s="134">
        <v>0</v>
      </c>
      <c r="BT29" s="134">
        <v>0</v>
      </c>
      <c r="BU29" s="134">
        <v>0</v>
      </c>
      <c r="BV29" s="134">
        <v>0</v>
      </c>
      <c r="BW29" s="134">
        <v>0</v>
      </c>
      <c r="BX29" s="134">
        <v>0</v>
      </c>
      <c r="BY29" s="134">
        <v>0</v>
      </c>
      <c r="BZ29" s="134">
        <v>0</v>
      </c>
      <c r="CA29" s="134">
        <f t="shared" si="11"/>
        <v>0</v>
      </c>
      <c r="CB29" s="144">
        <v>0.25</v>
      </c>
      <c r="CC29" s="144">
        <v>1</v>
      </c>
    </row>
    <row r="30" spans="1:82" ht="26" x14ac:dyDescent="0.35">
      <c r="A30" s="133" t="s">
        <v>208</v>
      </c>
      <c r="B30" s="22"/>
      <c r="C30" s="22"/>
      <c r="D30" s="23" t="s">
        <v>209</v>
      </c>
      <c r="E30" s="146" t="s">
        <v>210</v>
      </c>
      <c r="F30" s="146" t="s">
        <v>210</v>
      </c>
      <c r="G30" s="146" t="s">
        <v>210</v>
      </c>
      <c r="K30" s="24">
        <v>20</v>
      </c>
      <c r="M30" s="148" t="s">
        <v>214</v>
      </c>
      <c r="N30" s="130">
        <v>1</v>
      </c>
      <c r="O30" s="130">
        <v>3</v>
      </c>
      <c r="P30" s="149">
        <v>1</v>
      </c>
      <c r="Q30" s="149">
        <v>1</v>
      </c>
      <c r="R30" s="149">
        <v>2</v>
      </c>
      <c r="S30" s="149" t="s">
        <v>215</v>
      </c>
      <c r="T30" s="149">
        <v>1</v>
      </c>
      <c r="U30" s="149"/>
      <c r="V30" s="149"/>
      <c r="W30" s="149"/>
      <c r="X30" s="149"/>
      <c r="Y30" s="149"/>
      <c r="Z30" s="150">
        <v>0</v>
      </c>
      <c r="AA30" s="150">
        <v>0</v>
      </c>
      <c r="AB30" s="150">
        <v>3</v>
      </c>
      <c r="AC30" s="150">
        <v>7</v>
      </c>
      <c r="AD30" s="150">
        <v>7</v>
      </c>
      <c r="AE30" s="150">
        <v>12</v>
      </c>
      <c r="AF30" s="150">
        <v>15</v>
      </c>
      <c r="AG30" s="150">
        <v>0</v>
      </c>
      <c r="AH30" s="150">
        <v>0</v>
      </c>
      <c r="AI30" s="150">
        <f>SUM(Z30:AH30)</f>
        <v>44</v>
      </c>
      <c r="AJ30" s="149">
        <v>0</v>
      </c>
      <c r="AK30" s="149">
        <v>6</v>
      </c>
      <c r="AL30" s="149">
        <v>0</v>
      </c>
      <c r="AM30" s="149">
        <v>0</v>
      </c>
      <c r="AN30" s="149">
        <v>3</v>
      </c>
      <c r="AO30" s="149">
        <v>1</v>
      </c>
      <c r="AP30" s="149">
        <v>2</v>
      </c>
      <c r="AQ30" s="149">
        <v>0</v>
      </c>
      <c r="AR30" s="149">
        <v>0</v>
      </c>
      <c r="AS30" s="149">
        <v>12</v>
      </c>
      <c r="AT30" s="150">
        <v>0</v>
      </c>
      <c r="AU30" s="150">
        <v>0</v>
      </c>
      <c r="AV30" s="150">
        <v>3</v>
      </c>
      <c r="AW30" s="150">
        <v>7</v>
      </c>
      <c r="AX30" s="150">
        <v>7</v>
      </c>
      <c r="AY30" s="150">
        <v>12</v>
      </c>
      <c r="AZ30" s="150">
        <v>15</v>
      </c>
      <c r="BA30" s="149"/>
      <c r="BB30" s="149">
        <f>SUM(AT30:BA30)</f>
        <v>44</v>
      </c>
      <c r="BC30" s="150">
        <v>0</v>
      </c>
      <c r="BD30" s="150">
        <v>0</v>
      </c>
      <c r="BE30" s="150">
        <v>3</v>
      </c>
      <c r="BF30" s="150">
        <v>7</v>
      </c>
      <c r="BG30" s="150">
        <v>7</v>
      </c>
      <c r="BH30" s="150">
        <v>12</v>
      </c>
      <c r="BI30" s="150">
        <v>15</v>
      </c>
      <c r="BJ30" s="150">
        <f>SUM(BC30:BI30)</f>
        <v>44</v>
      </c>
      <c r="BK30" s="149">
        <v>0</v>
      </c>
      <c r="BL30" s="149">
        <v>44</v>
      </c>
      <c r="BM30" s="149">
        <v>0</v>
      </c>
      <c r="BN30" s="149">
        <v>0</v>
      </c>
      <c r="BO30" s="149">
        <v>44</v>
      </c>
      <c r="BP30" s="149">
        <v>0</v>
      </c>
      <c r="BQ30" s="149">
        <v>0</v>
      </c>
      <c r="BR30" s="149">
        <v>0</v>
      </c>
      <c r="BS30" s="149">
        <v>0</v>
      </c>
      <c r="BT30" s="149">
        <v>0</v>
      </c>
      <c r="BU30" s="149">
        <v>0</v>
      </c>
      <c r="BV30" s="149">
        <v>0</v>
      </c>
      <c r="BW30" s="149">
        <v>0</v>
      </c>
      <c r="BX30" s="149">
        <v>0</v>
      </c>
      <c r="BY30" s="149">
        <v>0</v>
      </c>
      <c r="BZ30" s="149">
        <v>0</v>
      </c>
      <c r="CA30" s="149">
        <v>0</v>
      </c>
      <c r="CB30" s="149"/>
      <c r="CC30" s="149"/>
      <c r="CD30" s="149"/>
    </row>
    <row r="31" spans="1:82" x14ac:dyDescent="0.35">
      <c r="A31" s="133" t="s">
        <v>208</v>
      </c>
      <c r="B31" s="22"/>
      <c r="C31" s="22"/>
      <c r="D31" s="23" t="s">
        <v>209</v>
      </c>
      <c r="E31" s="147" t="s">
        <v>211</v>
      </c>
      <c r="F31" s="147" t="s">
        <v>211</v>
      </c>
      <c r="G31" s="147" t="s">
        <v>211</v>
      </c>
      <c r="M31" s="148" t="s">
        <v>214</v>
      </c>
      <c r="N31" s="130">
        <v>1</v>
      </c>
      <c r="O31" s="130">
        <v>3</v>
      </c>
      <c r="P31" s="149">
        <v>1</v>
      </c>
      <c r="Q31" s="149">
        <v>1</v>
      </c>
      <c r="R31" s="149">
        <v>2</v>
      </c>
      <c r="S31" s="149" t="s">
        <v>215</v>
      </c>
      <c r="T31" s="149">
        <v>1</v>
      </c>
      <c r="U31" s="149"/>
      <c r="V31" s="149"/>
      <c r="W31" s="149"/>
      <c r="X31" s="149"/>
      <c r="Y31" s="149"/>
      <c r="Z31" s="149">
        <v>0</v>
      </c>
      <c r="AA31" s="150">
        <v>0</v>
      </c>
      <c r="AB31" s="149">
        <v>12</v>
      </c>
      <c r="AC31" s="149">
        <v>15</v>
      </c>
      <c r="AD31" s="149">
        <v>34</v>
      </c>
      <c r="AE31" s="149">
        <v>26</v>
      </c>
      <c r="AF31" s="149">
        <v>37</v>
      </c>
      <c r="AG31" s="150">
        <v>0</v>
      </c>
      <c r="AH31" s="150">
        <v>0</v>
      </c>
      <c r="AI31" s="149">
        <f>SUM(Z31:AH31)</f>
        <v>124</v>
      </c>
      <c r="AJ31" s="149">
        <v>0</v>
      </c>
      <c r="AK31" s="149">
        <v>0</v>
      </c>
      <c r="AL31" s="149">
        <v>0</v>
      </c>
      <c r="AM31" s="149">
        <v>0</v>
      </c>
      <c r="AN31" s="149">
        <v>0</v>
      </c>
      <c r="AO31" s="149">
        <v>0</v>
      </c>
      <c r="AP31" s="149">
        <v>0</v>
      </c>
      <c r="AQ31" s="149">
        <v>0</v>
      </c>
      <c r="AR31" s="149">
        <v>0</v>
      </c>
      <c r="AS31" s="149">
        <v>0</v>
      </c>
      <c r="AT31" s="149">
        <v>0</v>
      </c>
      <c r="AU31" s="149">
        <v>0</v>
      </c>
      <c r="AV31" s="149">
        <v>12</v>
      </c>
      <c r="AW31" s="149">
        <v>15</v>
      </c>
      <c r="AX31" s="149">
        <v>34</v>
      </c>
      <c r="AY31" s="149">
        <v>26</v>
      </c>
      <c r="AZ31" s="149">
        <v>37</v>
      </c>
      <c r="BA31" s="149"/>
      <c r="BB31" s="149">
        <f>SUM(AT31:BA31)</f>
        <v>124</v>
      </c>
      <c r="BC31" s="150">
        <v>0</v>
      </c>
      <c r="BD31" s="150">
        <v>0</v>
      </c>
      <c r="BE31" s="149">
        <v>12</v>
      </c>
      <c r="BF31" s="149">
        <v>15</v>
      </c>
      <c r="BG31" s="149">
        <v>34</v>
      </c>
      <c r="BH31" s="149">
        <v>26</v>
      </c>
      <c r="BI31" s="149">
        <v>37</v>
      </c>
      <c r="BJ31" s="149">
        <f>SUM(BC31:BI31)</f>
        <v>124</v>
      </c>
      <c r="BK31" s="149">
        <v>0</v>
      </c>
      <c r="BL31" s="149">
        <v>124</v>
      </c>
      <c r="BM31" s="149">
        <v>0</v>
      </c>
      <c r="BN31" s="149">
        <v>0</v>
      </c>
      <c r="BO31" s="149">
        <v>124</v>
      </c>
      <c r="BP31" s="149">
        <v>0</v>
      </c>
      <c r="BQ31" s="149">
        <v>0</v>
      </c>
      <c r="BR31" s="149">
        <v>0</v>
      </c>
      <c r="BS31" s="149">
        <v>0</v>
      </c>
      <c r="BT31" s="149">
        <v>0</v>
      </c>
      <c r="BU31" s="149">
        <v>0</v>
      </c>
      <c r="BV31" s="149">
        <v>0</v>
      </c>
      <c r="BW31" s="149">
        <v>0</v>
      </c>
      <c r="BX31" s="149">
        <v>0</v>
      </c>
      <c r="BY31" s="149">
        <v>0</v>
      </c>
      <c r="BZ31" s="149">
        <v>0</v>
      </c>
      <c r="CA31" s="149">
        <v>0</v>
      </c>
      <c r="CB31" s="149"/>
      <c r="CC31" s="149"/>
      <c r="CD31" s="149"/>
    </row>
    <row r="32" spans="1:82" x14ac:dyDescent="0.35">
      <c r="A32" s="133" t="s">
        <v>208</v>
      </c>
      <c r="B32" s="22"/>
      <c r="C32" s="22"/>
      <c r="D32" s="23" t="s">
        <v>209</v>
      </c>
      <c r="E32" s="147" t="s">
        <v>212</v>
      </c>
      <c r="F32" s="147" t="s">
        <v>212</v>
      </c>
      <c r="G32" s="147" t="s">
        <v>212</v>
      </c>
      <c r="M32" s="148" t="s">
        <v>214</v>
      </c>
      <c r="N32" s="130">
        <v>1</v>
      </c>
      <c r="O32" s="130">
        <v>3</v>
      </c>
      <c r="P32" s="149">
        <v>1</v>
      </c>
      <c r="Q32" s="149">
        <v>1</v>
      </c>
      <c r="R32" s="149">
        <v>2</v>
      </c>
      <c r="S32" s="149" t="s">
        <v>215</v>
      </c>
      <c r="T32" s="149">
        <v>1</v>
      </c>
      <c r="U32" s="149"/>
      <c r="V32" s="149"/>
      <c r="W32" s="149"/>
      <c r="X32" s="149"/>
      <c r="Y32" s="149"/>
      <c r="Z32" s="149">
        <v>1</v>
      </c>
      <c r="AA32" s="150">
        <v>0</v>
      </c>
      <c r="AB32" s="149">
        <v>11</v>
      </c>
      <c r="AC32" s="149">
        <v>26</v>
      </c>
      <c r="AD32" s="149">
        <v>32</v>
      </c>
      <c r="AE32" s="149">
        <v>21</v>
      </c>
      <c r="AF32" s="149">
        <v>34</v>
      </c>
      <c r="AG32" s="150">
        <v>0</v>
      </c>
      <c r="AH32" s="150">
        <v>0</v>
      </c>
      <c r="AI32" s="149">
        <f>SUM(Z32:AH32)</f>
        <v>125</v>
      </c>
      <c r="AJ32" s="149">
        <v>0</v>
      </c>
      <c r="AK32" s="149">
        <v>0</v>
      </c>
      <c r="AL32" s="149">
        <v>0</v>
      </c>
      <c r="AM32" s="149">
        <v>0</v>
      </c>
      <c r="AN32" s="149">
        <v>0</v>
      </c>
      <c r="AO32" s="149">
        <v>0</v>
      </c>
      <c r="AP32" s="149">
        <v>0</v>
      </c>
      <c r="AQ32" s="149">
        <v>0</v>
      </c>
      <c r="AR32" s="149">
        <v>0</v>
      </c>
      <c r="AS32" s="149">
        <v>0</v>
      </c>
      <c r="AT32" s="149">
        <v>1</v>
      </c>
      <c r="AU32" s="149">
        <v>0</v>
      </c>
      <c r="AV32" s="149">
        <v>11</v>
      </c>
      <c r="AW32" s="149">
        <v>26</v>
      </c>
      <c r="AX32" s="149">
        <v>32</v>
      </c>
      <c r="AY32" s="149">
        <v>21</v>
      </c>
      <c r="AZ32" s="149">
        <v>34</v>
      </c>
      <c r="BA32" s="149"/>
      <c r="BB32" s="149">
        <f>SUM(AT32:BA32)</f>
        <v>125</v>
      </c>
      <c r="BC32" s="149">
        <v>1</v>
      </c>
      <c r="BD32" s="149">
        <v>0</v>
      </c>
      <c r="BE32" s="149">
        <v>11</v>
      </c>
      <c r="BF32" s="149">
        <v>26</v>
      </c>
      <c r="BG32" s="149">
        <v>32</v>
      </c>
      <c r="BH32" s="149">
        <v>21</v>
      </c>
      <c r="BI32" s="149">
        <v>34</v>
      </c>
      <c r="BJ32" s="149">
        <f>SUM(BC32:BI32)</f>
        <v>125</v>
      </c>
      <c r="BK32" s="149">
        <v>0</v>
      </c>
      <c r="BL32" s="149">
        <v>125</v>
      </c>
      <c r="BM32" s="149">
        <v>0</v>
      </c>
      <c r="BN32" s="149">
        <v>0</v>
      </c>
      <c r="BO32" s="149">
        <v>125</v>
      </c>
      <c r="BP32" s="149">
        <v>0</v>
      </c>
      <c r="BQ32" s="149">
        <v>0</v>
      </c>
      <c r="BR32" s="149">
        <v>0</v>
      </c>
      <c r="BS32" s="149">
        <v>0</v>
      </c>
      <c r="BT32" s="149">
        <v>0</v>
      </c>
      <c r="BU32" s="149">
        <v>0</v>
      </c>
      <c r="BV32" s="149">
        <v>0</v>
      </c>
      <c r="BW32" s="149">
        <v>0</v>
      </c>
      <c r="BX32" s="149">
        <v>0</v>
      </c>
      <c r="BY32" s="149">
        <v>0</v>
      </c>
      <c r="BZ32" s="149">
        <v>0</v>
      </c>
      <c r="CA32" s="149">
        <v>0</v>
      </c>
      <c r="CB32" s="149"/>
      <c r="CC32" s="149"/>
      <c r="CD32" s="149"/>
    </row>
    <row r="33" spans="1:84" x14ac:dyDescent="0.35">
      <c r="A33" s="133" t="s">
        <v>208</v>
      </c>
      <c r="B33" s="22"/>
      <c r="C33" s="22"/>
      <c r="D33" s="23" t="s">
        <v>209</v>
      </c>
      <c r="E33" s="146" t="s">
        <v>213</v>
      </c>
      <c r="F33" s="146" t="s">
        <v>213</v>
      </c>
      <c r="G33" s="146" t="s">
        <v>213</v>
      </c>
      <c r="M33" s="148" t="s">
        <v>214</v>
      </c>
      <c r="N33" s="130">
        <v>1</v>
      </c>
      <c r="O33" s="130">
        <v>3</v>
      </c>
      <c r="P33" s="149">
        <v>1</v>
      </c>
      <c r="Q33" s="149">
        <v>1</v>
      </c>
      <c r="R33" s="149">
        <v>2</v>
      </c>
      <c r="S33" s="149" t="s">
        <v>215</v>
      </c>
      <c r="T33" s="149">
        <v>1</v>
      </c>
      <c r="U33" s="149"/>
      <c r="V33" s="149"/>
      <c r="W33" s="149"/>
      <c r="X33" s="149"/>
      <c r="Y33" s="149"/>
      <c r="Z33" s="149">
        <v>0</v>
      </c>
      <c r="AA33" s="150">
        <v>0</v>
      </c>
      <c r="AB33" s="149">
        <v>6</v>
      </c>
      <c r="AC33" s="149">
        <v>17</v>
      </c>
      <c r="AD33" s="149">
        <v>18</v>
      </c>
      <c r="AE33" s="149">
        <v>20</v>
      </c>
      <c r="AF33" s="149">
        <v>44</v>
      </c>
      <c r="AG33" s="150">
        <v>0</v>
      </c>
      <c r="AH33" s="150">
        <v>0</v>
      </c>
      <c r="AI33" s="149">
        <f>SUM(Z33:AH33)</f>
        <v>105</v>
      </c>
      <c r="AJ33" s="149">
        <v>0</v>
      </c>
      <c r="AK33" s="149">
        <v>0</v>
      </c>
      <c r="AL33" s="149">
        <v>0</v>
      </c>
      <c r="AM33" s="149">
        <v>0</v>
      </c>
      <c r="AN33" s="149">
        <v>0</v>
      </c>
      <c r="AO33" s="149">
        <v>0</v>
      </c>
      <c r="AP33" s="149">
        <v>0</v>
      </c>
      <c r="AQ33" s="149">
        <v>0</v>
      </c>
      <c r="AR33" s="149">
        <v>0</v>
      </c>
      <c r="AS33" s="149">
        <v>0</v>
      </c>
      <c r="AT33" s="149">
        <v>0</v>
      </c>
      <c r="AU33" s="149">
        <v>0</v>
      </c>
      <c r="AV33" s="149">
        <v>6</v>
      </c>
      <c r="AW33" s="149">
        <v>17</v>
      </c>
      <c r="AX33" s="149">
        <v>18</v>
      </c>
      <c r="AY33" s="149">
        <v>20</v>
      </c>
      <c r="AZ33" s="149">
        <v>44</v>
      </c>
      <c r="BA33" s="149"/>
      <c r="BB33" s="149">
        <f>SUM(AT33:BA33)</f>
        <v>105</v>
      </c>
      <c r="BC33" s="149">
        <v>0</v>
      </c>
      <c r="BD33" s="149">
        <v>0</v>
      </c>
      <c r="BE33" s="149">
        <v>6</v>
      </c>
      <c r="BF33" s="149">
        <v>17</v>
      </c>
      <c r="BG33" s="149">
        <v>18</v>
      </c>
      <c r="BH33" s="149">
        <v>20</v>
      </c>
      <c r="BI33" s="149">
        <v>44</v>
      </c>
      <c r="BJ33" s="149">
        <f>SUM(BC33:BI33)</f>
        <v>105</v>
      </c>
      <c r="BK33" s="149">
        <v>0</v>
      </c>
      <c r="BL33" s="149">
        <v>105</v>
      </c>
      <c r="BM33" s="149">
        <v>0</v>
      </c>
      <c r="BN33" s="149">
        <v>0</v>
      </c>
      <c r="BO33" s="149">
        <v>105</v>
      </c>
      <c r="BP33" s="149">
        <v>0</v>
      </c>
      <c r="BQ33" s="149">
        <v>0</v>
      </c>
      <c r="BR33" s="149">
        <v>0</v>
      </c>
      <c r="BS33" s="149">
        <v>0</v>
      </c>
      <c r="BT33" s="149">
        <v>0</v>
      </c>
      <c r="BU33" s="149">
        <v>0</v>
      </c>
      <c r="BV33" s="149">
        <v>0</v>
      </c>
      <c r="BW33" s="149">
        <v>0</v>
      </c>
      <c r="BX33" s="149">
        <v>0</v>
      </c>
      <c r="BY33" s="149">
        <v>0</v>
      </c>
      <c r="BZ33" s="149">
        <v>0</v>
      </c>
      <c r="CA33" s="149">
        <v>0</v>
      </c>
      <c r="CB33" s="149"/>
      <c r="CC33" s="149"/>
      <c r="CD33" s="149"/>
    </row>
    <row r="34" spans="1:84" x14ac:dyDescent="0.35">
      <c r="A34" s="133" t="s">
        <v>208</v>
      </c>
      <c r="B34" s="22"/>
      <c r="C34" s="22"/>
      <c r="D34" s="23" t="s">
        <v>209</v>
      </c>
      <c r="E34" s="24" t="s">
        <v>216</v>
      </c>
      <c r="F34" s="24" t="s">
        <v>216</v>
      </c>
      <c r="G34" s="24" t="s">
        <v>216</v>
      </c>
      <c r="H34" s="24">
        <v>34985</v>
      </c>
      <c r="K34" s="24">
        <v>256</v>
      </c>
      <c r="M34" s="151">
        <v>46135</v>
      </c>
      <c r="N34" s="130">
        <v>1</v>
      </c>
      <c r="O34" s="130">
        <v>3</v>
      </c>
      <c r="P34" s="24">
        <v>1</v>
      </c>
      <c r="Q34" s="24">
        <v>2</v>
      </c>
      <c r="R34" s="24">
        <v>3</v>
      </c>
      <c r="S34" s="24" t="s">
        <v>217</v>
      </c>
      <c r="T34" s="24">
        <v>1</v>
      </c>
      <c r="U34" s="24">
        <v>20</v>
      </c>
      <c r="V34" s="24">
        <v>0</v>
      </c>
      <c r="W34" s="24">
        <v>0</v>
      </c>
      <c r="X34" s="24">
        <v>0</v>
      </c>
      <c r="Y34" s="24">
        <v>20</v>
      </c>
      <c r="Z34" s="24">
        <v>0</v>
      </c>
      <c r="AA34" s="24">
        <v>0</v>
      </c>
      <c r="AB34" s="24">
        <v>0</v>
      </c>
      <c r="AC34" s="24">
        <v>1</v>
      </c>
      <c r="AD34" s="24">
        <v>2</v>
      </c>
      <c r="AE34" s="24">
        <v>11</v>
      </c>
      <c r="AF34" s="24">
        <v>8</v>
      </c>
      <c r="AG34" s="24">
        <v>0</v>
      </c>
      <c r="AH34" s="24">
        <v>0</v>
      </c>
      <c r="AI34" s="24">
        <v>22</v>
      </c>
      <c r="AJ34" s="24">
        <v>0</v>
      </c>
      <c r="AK34" s="24">
        <v>1</v>
      </c>
      <c r="AL34" s="24">
        <v>1</v>
      </c>
      <c r="AM34" s="24">
        <v>2</v>
      </c>
      <c r="AN34" s="24">
        <v>3</v>
      </c>
      <c r="AO34" s="24">
        <v>4</v>
      </c>
      <c r="AP34" s="24">
        <v>4</v>
      </c>
      <c r="AQ34" s="24">
        <v>0</v>
      </c>
      <c r="AR34" s="24">
        <v>0</v>
      </c>
      <c r="AS34" s="24">
        <v>15</v>
      </c>
      <c r="AT34" s="24">
        <v>0</v>
      </c>
      <c r="AU34" s="24">
        <v>0</v>
      </c>
      <c r="AV34" s="24">
        <v>0</v>
      </c>
      <c r="AW34" s="24">
        <v>1</v>
      </c>
      <c r="AX34" s="24">
        <v>0</v>
      </c>
      <c r="AY34" s="24">
        <v>1</v>
      </c>
      <c r="AZ34" s="24">
        <v>0</v>
      </c>
      <c r="BA34" s="24">
        <v>0</v>
      </c>
      <c r="BB34" s="24">
        <v>2</v>
      </c>
      <c r="BC34" s="24">
        <v>0</v>
      </c>
      <c r="BD34" s="24">
        <v>0</v>
      </c>
      <c r="BE34" s="24">
        <v>0</v>
      </c>
      <c r="BF34" s="24">
        <v>1</v>
      </c>
      <c r="BG34" s="24">
        <v>2</v>
      </c>
      <c r="BH34" s="24">
        <v>11</v>
      </c>
      <c r="BI34" s="24">
        <v>8</v>
      </c>
      <c r="BJ34" s="24">
        <v>22</v>
      </c>
      <c r="BK34" s="24">
        <v>0</v>
      </c>
      <c r="BL34" s="24">
        <v>22</v>
      </c>
      <c r="BM34" s="24">
        <v>0</v>
      </c>
      <c r="BN34" s="24">
        <v>0</v>
      </c>
      <c r="BO34" s="24">
        <v>20</v>
      </c>
      <c r="BP34" s="24">
        <v>2</v>
      </c>
      <c r="BQ34" s="24">
        <v>0</v>
      </c>
      <c r="BR34" s="24">
        <v>0</v>
      </c>
      <c r="BS34" s="24">
        <v>0</v>
      </c>
      <c r="BT34" s="24">
        <v>0</v>
      </c>
      <c r="BU34" s="24">
        <v>0</v>
      </c>
      <c r="BV34" s="24">
        <v>0</v>
      </c>
      <c r="BW34" s="24">
        <v>0</v>
      </c>
      <c r="BX34" s="24">
        <v>0</v>
      </c>
      <c r="BY34" s="24">
        <v>1</v>
      </c>
      <c r="BZ34" s="24">
        <v>0</v>
      </c>
      <c r="CA34" s="24">
        <v>1</v>
      </c>
    </row>
    <row r="35" spans="1:84" x14ac:dyDescent="0.35">
      <c r="A35" s="133" t="s">
        <v>208</v>
      </c>
      <c r="B35" s="22"/>
      <c r="C35" s="22"/>
      <c r="D35" s="23" t="s">
        <v>209</v>
      </c>
      <c r="E35" s="149" t="s">
        <v>218</v>
      </c>
      <c r="F35" s="149" t="s">
        <v>218</v>
      </c>
      <c r="G35" s="149" t="s">
        <v>218</v>
      </c>
      <c r="H35" s="24">
        <v>34330</v>
      </c>
      <c r="M35" s="151">
        <v>46124</v>
      </c>
      <c r="N35" s="130">
        <v>1</v>
      </c>
      <c r="O35" s="130">
        <v>3</v>
      </c>
      <c r="P35" s="149">
        <v>1</v>
      </c>
      <c r="Q35" s="149">
        <v>1</v>
      </c>
      <c r="R35" s="149">
        <v>3</v>
      </c>
      <c r="S35" s="149" t="s">
        <v>220</v>
      </c>
      <c r="T35" s="149">
        <v>1</v>
      </c>
      <c r="U35" s="149">
        <v>25</v>
      </c>
      <c r="V35" s="149">
        <v>0</v>
      </c>
      <c r="W35" s="149">
        <v>0</v>
      </c>
      <c r="X35" s="149">
        <v>0</v>
      </c>
      <c r="Y35" s="149">
        <v>25</v>
      </c>
      <c r="Z35" s="149">
        <v>1</v>
      </c>
      <c r="AA35" s="149">
        <v>4</v>
      </c>
      <c r="AB35" s="149">
        <v>26</v>
      </c>
      <c r="AC35" s="149">
        <v>21</v>
      </c>
      <c r="AD35" s="149">
        <v>33</v>
      </c>
      <c r="AE35" s="149">
        <v>26</v>
      </c>
      <c r="AF35" s="149">
        <v>18</v>
      </c>
      <c r="AG35" s="149">
        <v>0</v>
      </c>
      <c r="AH35" s="149">
        <v>0</v>
      </c>
      <c r="AI35" s="149">
        <v>129</v>
      </c>
      <c r="AJ35" s="149">
        <v>0</v>
      </c>
      <c r="AK35" s="149">
        <v>0</v>
      </c>
      <c r="AL35" s="149">
        <v>0</v>
      </c>
      <c r="AM35" s="149">
        <v>0</v>
      </c>
      <c r="AN35" s="149">
        <v>0</v>
      </c>
      <c r="AO35" s="149">
        <v>0</v>
      </c>
      <c r="AP35" s="149">
        <v>0</v>
      </c>
      <c r="AQ35" s="149">
        <v>0</v>
      </c>
      <c r="AR35" s="149">
        <v>0</v>
      </c>
      <c r="AS35" s="149">
        <v>0</v>
      </c>
      <c r="AT35" s="149">
        <v>1</v>
      </c>
      <c r="AU35" s="149">
        <v>4</v>
      </c>
      <c r="AV35" s="149">
        <v>26</v>
      </c>
      <c r="AW35" s="149">
        <v>21</v>
      </c>
      <c r="AX35" s="149">
        <v>33</v>
      </c>
      <c r="AY35" s="149">
        <v>26</v>
      </c>
      <c r="AZ35" s="149">
        <v>18</v>
      </c>
      <c r="BA35" s="149"/>
      <c r="BB35" s="149">
        <v>129</v>
      </c>
      <c r="BC35" s="149">
        <v>1</v>
      </c>
      <c r="BD35" s="149">
        <v>4</v>
      </c>
      <c r="BE35" s="149">
        <v>26</v>
      </c>
      <c r="BF35" s="149">
        <v>21</v>
      </c>
      <c r="BG35" s="149">
        <v>33</v>
      </c>
      <c r="BH35" s="149">
        <v>26</v>
      </c>
      <c r="BI35" s="149">
        <v>18</v>
      </c>
      <c r="BJ35" s="149">
        <v>129</v>
      </c>
      <c r="BK35" s="149">
        <v>0</v>
      </c>
      <c r="BL35" s="149">
        <v>129</v>
      </c>
      <c r="BM35" s="149">
        <v>0</v>
      </c>
      <c r="BN35" s="149">
        <v>0</v>
      </c>
      <c r="BO35" s="149">
        <v>129</v>
      </c>
      <c r="BP35" s="149">
        <v>60</v>
      </c>
      <c r="BQ35" s="149">
        <v>0</v>
      </c>
      <c r="BR35" s="149">
        <v>0</v>
      </c>
      <c r="BS35" s="149">
        <v>0</v>
      </c>
      <c r="BT35" s="149">
        <v>0</v>
      </c>
      <c r="BU35" s="149">
        <v>0</v>
      </c>
      <c r="BV35" s="149">
        <v>0</v>
      </c>
      <c r="BW35" s="149">
        <v>0</v>
      </c>
      <c r="BX35" s="149">
        <v>0</v>
      </c>
      <c r="BY35" s="149">
        <v>0</v>
      </c>
      <c r="BZ35" s="149">
        <v>0</v>
      </c>
      <c r="CA35" s="149">
        <v>0</v>
      </c>
      <c r="CB35" s="149"/>
      <c r="CC35" s="149"/>
      <c r="CD35" s="217" t="s">
        <v>207</v>
      </c>
      <c r="CE35" s="218"/>
      <c r="CF35" s="219"/>
    </row>
    <row r="36" spans="1:84" x14ac:dyDescent="0.35">
      <c r="A36" s="133" t="s">
        <v>208</v>
      </c>
      <c r="B36" s="22"/>
      <c r="C36" s="22"/>
      <c r="D36" s="23" t="s">
        <v>209</v>
      </c>
      <c r="E36" s="149" t="s">
        <v>185</v>
      </c>
      <c r="F36" s="149" t="s">
        <v>185</v>
      </c>
      <c r="G36" s="149" t="s">
        <v>185</v>
      </c>
      <c r="H36" s="24">
        <v>34920</v>
      </c>
      <c r="M36" s="151">
        <v>46124</v>
      </c>
      <c r="N36" s="130">
        <v>1</v>
      </c>
      <c r="O36" s="130">
        <v>3</v>
      </c>
      <c r="P36" s="149">
        <v>1</v>
      </c>
      <c r="Q36" s="149">
        <v>1</v>
      </c>
      <c r="R36" s="149">
        <v>3</v>
      </c>
      <c r="S36" s="149" t="s">
        <v>220</v>
      </c>
      <c r="T36" s="149">
        <v>1</v>
      </c>
      <c r="U36" s="149">
        <v>30</v>
      </c>
      <c r="V36" s="149">
        <v>0</v>
      </c>
      <c r="W36" s="149">
        <v>0</v>
      </c>
      <c r="X36" s="149">
        <v>0</v>
      </c>
      <c r="Y36" s="149">
        <v>30</v>
      </c>
      <c r="Z36" s="149">
        <v>2</v>
      </c>
      <c r="AA36" s="149">
        <v>1</v>
      </c>
      <c r="AB36" s="149">
        <v>8</v>
      </c>
      <c r="AC36" s="149">
        <v>11</v>
      </c>
      <c r="AD36" s="149">
        <v>11</v>
      </c>
      <c r="AE36" s="149">
        <v>18</v>
      </c>
      <c r="AF36" s="149">
        <v>9</v>
      </c>
      <c r="AG36" s="149">
        <v>0</v>
      </c>
      <c r="AH36" s="149">
        <v>0</v>
      </c>
      <c r="AI36" s="149">
        <v>60</v>
      </c>
      <c r="AJ36" s="149">
        <v>0</v>
      </c>
      <c r="AK36" s="149">
        <v>0</v>
      </c>
      <c r="AL36" s="149">
        <v>0</v>
      </c>
      <c r="AM36" s="149">
        <v>0</v>
      </c>
      <c r="AN36" s="149">
        <v>0</v>
      </c>
      <c r="AO36" s="149">
        <v>0</v>
      </c>
      <c r="AP36" s="149">
        <v>0</v>
      </c>
      <c r="AQ36" s="149">
        <v>0</v>
      </c>
      <c r="AR36" s="149">
        <v>0</v>
      </c>
      <c r="AS36" s="149">
        <v>0</v>
      </c>
      <c r="AT36" s="149">
        <v>2</v>
      </c>
      <c r="AU36" s="149">
        <v>1</v>
      </c>
      <c r="AV36" s="149">
        <v>8</v>
      </c>
      <c r="AW36" s="149">
        <v>11</v>
      </c>
      <c r="AX36" s="149">
        <v>11</v>
      </c>
      <c r="AY36" s="149">
        <v>18</v>
      </c>
      <c r="AZ36" s="149">
        <v>9</v>
      </c>
      <c r="BA36" s="149"/>
      <c r="BB36" s="149">
        <v>60</v>
      </c>
      <c r="BC36" s="149">
        <v>2</v>
      </c>
      <c r="BD36" s="149">
        <v>1</v>
      </c>
      <c r="BE36" s="149">
        <v>8</v>
      </c>
      <c r="BF36" s="149">
        <v>11</v>
      </c>
      <c r="BG36" s="149">
        <v>11</v>
      </c>
      <c r="BH36" s="149">
        <v>18</v>
      </c>
      <c r="BI36" s="149">
        <v>9</v>
      </c>
      <c r="BJ36" s="149">
        <f>SUM(BC36:BI36)</f>
        <v>60</v>
      </c>
      <c r="BK36" s="149">
        <v>0</v>
      </c>
      <c r="BL36" s="149">
        <v>60</v>
      </c>
      <c r="BM36" s="149">
        <v>0</v>
      </c>
      <c r="BN36" s="149">
        <v>0</v>
      </c>
      <c r="BO36" s="149">
        <v>60</v>
      </c>
      <c r="BP36" s="149">
        <v>10</v>
      </c>
      <c r="BQ36" s="149">
        <v>0</v>
      </c>
      <c r="BR36" s="149">
        <v>0</v>
      </c>
      <c r="BS36" s="149">
        <v>0</v>
      </c>
      <c r="BT36" s="149">
        <v>0</v>
      </c>
      <c r="BU36" s="149">
        <v>0</v>
      </c>
      <c r="BV36" s="149">
        <v>0</v>
      </c>
      <c r="BW36" s="149">
        <v>0</v>
      </c>
      <c r="BX36" s="149">
        <v>0</v>
      </c>
      <c r="BY36" s="149">
        <v>0</v>
      </c>
      <c r="BZ36" s="149">
        <v>0</v>
      </c>
      <c r="CA36" s="149">
        <v>0</v>
      </c>
      <c r="CB36" s="149"/>
      <c r="CC36" s="149"/>
      <c r="CD36" s="217" t="s">
        <v>207</v>
      </c>
      <c r="CE36" s="218"/>
      <c r="CF36" s="219"/>
    </row>
    <row r="37" spans="1:84" x14ac:dyDescent="0.35">
      <c r="A37" s="133" t="s">
        <v>208</v>
      </c>
      <c r="B37" s="22"/>
      <c r="C37" s="22"/>
      <c r="D37" s="23" t="s">
        <v>209</v>
      </c>
      <c r="E37" s="152" t="s">
        <v>202</v>
      </c>
      <c r="F37" s="152" t="s">
        <v>202</v>
      </c>
      <c r="G37" s="152" t="s">
        <v>202</v>
      </c>
      <c r="H37" s="24">
        <v>34910</v>
      </c>
      <c r="M37" s="151">
        <v>46124</v>
      </c>
      <c r="N37" s="130">
        <v>1</v>
      </c>
      <c r="O37" s="130">
        <v>3</v>
      </c>
      <c r="P37" s="149">
        <v>1</v>
      </c>
      <c r="Q37" s="149">
        <v>1</v>
      </c>
      <c r="R37" s="149">
        <v>3</v>
      </c>
      <c r="S37" s="149" t="s">
        <v>220</v>
      </c>
      <c r="T37" s="149">
        <v>1</v>
      </c>
      <c r="U37" s="149">
        <v>12</v>
      </c>
      <c r="V37" s="149">
        <v>0</v>
      </c>
      <c r="W37" s="149">
        <v>1</v>
      </c>
      <c r="X37" s="149">
        <v>0</v>
      </c>
      <c r="Y37" s="149">
        <v>13</v>
      </c>
      <c r="Z37" s="149">
        <v>2</v>
      </c>
      <c r="AA37" s="149">
        <v>3</v>
      </c>
      <c r="AB37" s="149">
        <v>9</v>
      </c>
      <c r="AC37" s="149">
        <v>7</v>
      </c>
      <c r="AD37" s="149">
        <v>16</v>
      </c>
      <c r="AE37" s="149">
        <v>8</v>
      </c>
      <c r="AF37" s="149">
        <v>11</v>
      </c>
      <c r="AG37" s="149">
        <v>0</v>
      </c>
      <c r="AH37" s="149">
        <v>0</v>
      </c>
      <c r="AI37" s="149">
        <v>56</v>
      </c>
      <c r="AJ37" s="149">
        <v>0</v>
      </c>
      <c r="AK37" s="149">
        <v>0</v>
      </c>
      <c r="AL37" s="149">
        <v>0</v>
      </c>
      <c r="AM37" s="149">
        <v>0</v>
      </c>
      <c r="AN37" s="149">
        <v>0</v>
      </c>
      <c r="AO37" s="149">
        <v>0</v>
      </c>
      <c r="AP37" s="149">
        <v>1</v>
      </c>
      <c r="AQ37" s="149">
        <v>0</v>
      </c>
      <c r="AR37" s="149">
        <v>0</v>
      </c>
      <c r="AS37" s="149">
        <v>1</v>
      </c>
      <c r="AT37" s="149">
        <v>2</v>
      </c>
      <c r="AU37" s="149">
        <v>3</v>
      </c>
      <c r="AV37" s="149">
        <v>9</v>
      </c>
      <c r="AW37" s="149">
        <v>7</v>
      </c>
      <c r="AX37" s="149">
        <v>16</v>
      </c>
      <c r="AY37" s="149">
        <v>8</v>
      </c>
      <c r="AZ37" s="149">
        <v>11</v>
      </c>
      <c r="BA37" s="149"/>
      <c r="BB37" s="149">
        <v>56</v>
      </c>
      <c r="BC37" s="149">
        <v>2</v>
      </c>
      <c r="BD37" s="149">
        <v>3</v>
      </c>
      <c r="BE37" s="149">
        <v>9</v>
      </c>
      <c r="BF37" s="149">
        <v>7</v>
      </c>
      <c r="BG37" s="149">
        <v>16</v>
      </c>
      <c r="BH37" s="149">
        <v>8</v>
      </c>
      <c r="BI37" s="149">
        <v>11</v>
      </c>
      <c r="BJ37" s="149">
        <f>SUM(BC37:BI37)</f>
        <v>56</v>
      </c>
      <c r="BK37" s="149">
        <v>0</v>
      </c>
      <c r="BL37" s="149">
        <v>56</v>
      </c>
      <c r="BM37" s="149">
        <v>0</v>
      </c>
      <c r="BN37" s="149">
        <v>0</v>
      </c>
      <c r="BO37" s="149">
        <v>56</v>
      </c>
      <c r="BP37" s="149">
        <v>15</v>
      </c>
      <c r="BQ37" s="149">
        <v>0</v>
      </c>
      <c r="BR37" s="149">
        <v>0</v>
      </c>
      <c r="BS37" s="149">
        <v>0</v>
      </c>
      <c r="BT37" s="149">
        <v>0</v>
      </c>
      <c r="BU37" s="149">
        <v>0</v>
      </c>
      <c r="BV37" s="149">
        <v>0</v>
      </c>
      <c r="BW37" s="149">
        <v>0</v>
      </c>
      <c r="BX37" s="149">
        <v>0</v>
      </c>
      <c r="BY37" s="149">
        <v>0</v>
      </c>
      <c r="BZ37" s="149">
        <v>0</v>
      </c>
      <c r="CA37" s="149">
        <v>0</v>
      </c>
      <c r="CB37" s="149"/>
      <c r="CC37" s="149"/>
      <c r="CD37" s="217" t="s">
        <v>207</v>
      </c>
      <c r="CE37" s="218"/>
      <c r="CF37" s="219"/>
    </row>
    <row r="38" spans="1:84" x14ac:dyDescent="0.35">
      <c r="A38" s="133" t="s">
        <v>208</v>
      </c>
      <c r="B38" s="22"/>
      <c r="C38" s="22"/>
      <c r="D38" s="23" t="s">
        <v>209</v>
      </c>
      <c r="E38" s="149" t="s">
        <v>190</v>
      </c>
      <c r="F38" s="149" t="s">
        <v>190</v>
      </c>
      <c r="G38" s="149" t="s">
        <v>190</v>
      </c>
      <c r="H38" s="24">
        <v>34970</v>
      </c>
      <c r="M38" s="151">
        <v>46124</v>
      </c>
      <c r="N38" s="130">
        <v>1</v>
      </c>
      <c r="O38" s="130">
        <v>3</v>
      </c>
      <c r="P38" s="149">
        <v>1</v>
      </c>
      <c r="Q38" s="149">
        <v>1</v>
      </c>
      <c r="R38" s="149">
        <v>3</v>
      </c>
      <c r="S38" s="149" t="s">
        <v>220</v>
      </c>
      <c r="T38" s="149">
        <v>1</v>
      </c>
      <c r="U38" s="149">
        <v>2</v>
      </c>
      <c r="V38" s="149">
        <v>0</v>
      </c>
      <c r="W38" s="149">
        <v>0</v>
      </c>
      <c r="X38" s="149">
        <v>0</v>
      </c>
      <c r="Y38" s="149">
        <v>2</v>
      </c>
      <c r="Z38" s="149"/>
      <c r="AA38" s="149"/>
      <c r="AB38" s="149">
        <v>1</v>
      </c>
      <c r="AC38" s="149">
        <v>2</v>
      </c>
      <c r="AD38" s="149"/>
      <c r="AE38" s="149">
        <v>2</v>
      </c>
      <c r="AF38" s="149"/>
      <c r="AG38" s="149">
        <v>0</v>
      </c>
      <c r="AH38" s="149">
        <v>0</v>
      </c>
      <c r="AI38" s="149">
        <v>5</v>
      </c>
      <c r="AJ38" s="149">
        <v>0</v>
      </c>
      <c r="AK38" s="149">
        <v>0</v>
      </c>
      <c r="AL38" s="149">
        <v>0</v>
      </c>
      <c r="AM38" s="149">
        <v>0</v>
      </c>
      <c r="AN38" s="149">
        <v>0</v>
      </c>
      <c r="AO38" s="149">
        <v>0</v>
      </c>
      <c r="AP38" s="149">
        <v>0</v>
      </c>
      <c r="AQ38" s="149">
        <v>0</v>
      </c>
      <c r="AR38" s="149">
        <v>0</v>
      </c>
      <c r="AS38" s="149">
        <v>0</v>
      </c>
      <c r="AT38" s="149"/>
      <c r="AU38" s="149"/>
      <c r="AV38" s="149">
        <v>1</v>
      </c>
      <c r="AW38" s="149">
        <v>2</v>
      </c>
      <c r="AX38" s="149"/>
      <c r="AY38" s="149">
        <v>2</v>
      </c>
      <c r="AZ38" s="149"/>
      <c r="BA38" s="149"/>
      <c r="BB38" s="149">
        <v>5</v>
      </c>
      <c r="BC38" s="149"/>
      <c r="BD38" s="149"/>
      <c r="BE38" s="149">
        <v>1</v>
      </c>
      <c r="BF38" s="149">
        <v>2</v>
      </c>
      <c r="BG38" s="149"/>
      <c r="BH38" s="149">
        <v>2</v>
      </c>
      <c r="BI38" s="149"/>
      <c r="BJ38" s="149">
        <f>SUM(BC38:BI38)</f>
        <v>5</v>
      </c>
      <c r="BK38" s="149">
        <v>0</v>
      </c>
      <c r="BL38" s="149">
        <v>5</v>
      </c>
      <c r="BM38" s="149">
        <v>0</v>
      </c>
      <c r="BN38" s="149">
        <v>0</v>
      </c>
      <c r="BO38" s="149">
        <v>5</v>
      </c>
      <c r="BP38" s="149">
        <v>0</v>
      </c>
      <c r="BQ38" s="149">
        <v>0</v>
      </c>
      <c r="BR38" s="149">
        <v>0</v>
      </c>
      <c r="BS38" s="149">
        <v>0</v>
      </c>
      <c r="BT38" s="149">
        <v>0</v>
      </c>
      <c r="BU38" s="149">
        <v>0</v>
      </c>
      <c r="BV38" s="149">
        <v>0</v>
      </c>
      <c r="BW38" s="149">
        <v>0</v>
      </c>
      <c r="BX38" s="149">
        <v>0</v>
      </c>
      <c r="BY38" s="149">
        <v>0</v>
      </c>
      <c r="BZ38" s="149">
        <v>0</v>
      </c>
      <c r="CA38" s="149">
        <v>0</v>
      </c>
      <c r="CB38" s="149"/>
      <c r="CC38" s="149"/>
      <c r="CD38" s="217" t="s">
        <v>207</v>
      </c>
      <c r="CE38" s="218"/>
      <c r="CF38" s="219"/>
    </row>
    <row r="39" spans="1:84" x14ac:dyDescent="0.35">
      <c r="A39" s="133" t="s">
        <v>208</v>
      </c>
      <c r="B39" s="22"/>
      <c r="C39" s="22"/>
      <c r="D39" s="23" t="s">
        <v>209</v>
      </c>
      <c r="E39" s="149" t="s">
        <v>219</v>
      </c>
      <c r="F39" s="149" t="s">
        <v>219</v>
      </c>
      <c r="G39" s="149" t="s">
        <v>219</v>
      </c>
      <c r="H39" s="24">
        <v>34300</v>
      </c>
      <c r="M39" s="151">
        <v>46124</v>
      </c>
      <c r="N39" s="130">
        <v>1</v>
      </c>
      <c r="O39" s="130">
        <v>3</v>
      </c>
      <c r="P39" s="149">
        <v>1</v>
      </c>
      <c r="Q39" s="149">
        <v>1</v>
      </c>
      <c r="R39" s="149">
        <v>3</v>
      </c>
      <c r="S39" s="149" t="s">
        <v>220</v>
      </c>
      <c r="T39" s="149">
        <v>1</v>
      </c>
      <c r="U39" s="149">
        <v>2</v>
      </c>
      <c r="V39" s="149">
        <v>0</v>
      </c>
      <c r="W39" s="149">
        <v>0</v>
      </c>
      <c r="X39" s="149">
        <v>0</v>
      </c>
      <c r="Y39" s="149">
        <v>2</v>
      </c>
      <c r="Z39" s="149"/>
      <c r="AA39" s="149"/>
      <c r="AB39" s="149"/>
      <c r="AC39" s="149"/>
      <c r="AD39" s="149">
        <v>3</v>
      </c>
      <c r="AE39" s="149">
        <v>1</v>
      </c>
      <c r="AF39" s="149"/>
      <c r="AG39" s="149">
        <v>0</v>
      </c>
      <c r="AH39" s="149">
        <v>0</v>
      </c>
      <c r="AI39" s="149">
        <v>4</v>
      </c>
      <c r="AJ39" s="149">
        <v>0</v>
      </c>
      <c r="AK39" s="149">
        <v>0</v>
      </c>
      <c r="AL39" s="149">
        <v>0</v>
      </c>
      <c r="AM39" s="149">
        <v>0</v>
      </c>
      <c r="AN39" s="149">
        <v>0</v>
      </c>
      <c r="AO39" s="149">
        <v>0</v>
      </c>
      <c r="AP39" s="149">
        <v>0</v>
      </c>
      <c r="AQ39" s="149">
        <v>0</v>
      </c>
      <c r="AR39" s="149">
        <v>0</v>
      </c>
      <c r="AS39" s="149">
        <v>0</v>
      </c>
      <c r="AT39" s="149"/>
      <c r="AU39" s="149"/>
      <c r="AV39" s="149"/>
      <c r="AW39" s="149"/>
      <c r="AX39" s="149">
        <v>3</v>
      </c>
      <c r="AY39" s="149">
        <v>1</v>
      </c>
      <c r="AZ39" s="149"/>
      <c r="BA39" s="149"/>
      <c r="BB39" s="149">
        <v>4</v>
      </c>
      <c r="BC39" s="149"/>
      <c r="BD39" s="149"/>
      <c r="BE39" s="149"/>
      <c r="BF39" s="149"/>
      <c r="BG39" s="149">
        <v>3</v>
      </c>
      <c r="BH39" s="149">
        <v>1</v>
      </c>
      <c r="BI39" s="149"/>
      <c r="BJ39" s="149">
        <f>SUM(BC39:BI39)</f>
        <v>4</v>
      </c>
      <c r="BK39" s="149">
        <v>0</v>
      </c>
      <c r="BL39" s="149">
        <v>4</v>
      </c>
      <c r="BM39" s="149">
        <v>0</v>
      </c>
      <c r="BN39" s="149">
        <v>0</v>
      </c>
      <c r="BO39" s="149">
        <v>4</v>
      </c>
      <c r="BP39" s="149">
        <v>1</v>
      </c>
      <c r="BQ39" s="149">
        <v>0</v>
      </c>
      <c r="BR39" s="149">
        <v>0</v>
      </c>
      <c r="BS39" s="149">
        <v>0</v>
      </c>
      <c r="BT39" s="149">
        <v>0</v>
      </c>
      <c r="BU39" s="149">
        <v>0</v>
      </c>
      <c r="BV39" s="149">
        <v>0</v>
      </c>
      <c r="BW39" s="149">
        <v>0</v>
      </c>
      <c r="BX39" s="149">
        <v>0</v>
      </c>
      <c r="BY39" s="149">
        <v>0</v>
      </c>
      <c r="BZ39" s="149">
        <v>0</v>
      </c>
      <c r="CA39" s="149">
        <v>0</v>
      </c>
      <c r="CB39" s="149"/>
      <c r="CC39" s="149"/>
      <c r="CD39" s="217" t="s">
        <v>207</v>
      </c>
      <c r="CE39" s="218"/>
      <c r="CF39" s="219"/>
    </row>
    <row r="40" spans="1:84" ht="14.5" x14ac:dyDescent="0.35">
      <c r="A40" s="133" t="s">
        <v>175</v>
      </c>
      <c r="B40" s="22"/>
      <c r="C40" s="153" t="s">
        <v>222</v>
      </c>
      <c r="D40" s="23" t="s">
        <v>209</v>
      </c>
      <c r="E40" s="24" t="s">
        <v>221</v>
      </c>
      <c r="F40" s="24" t="s">
        <v>221</v>
      </c>
      <c r="G40" s="24" t="s">
        <v>221</v>
      </c>
      <c r="K40" s="24">
        <v>1046</v>
      </c>
      <c r="M40" s="151">
        <v>46109</v>
      </c>
      <c r="N40" s="130">
        <v>1</v>
      </c>
      <c r="O40" s="130">
        <v>3</v>
      </c>
      <c r="P40" s="24">
        <v>1</v>
      </c>
      <c r="BJ40" s="24">
        <v>788</v>
      </c>
      <c r="BK40" s="24">
        <v>95</v>
      </c>
      <c r="BL40" s="24">
        <v>693</v>
      </c>
      <c r="CC40" s="145"/>
    </row>
    <row r="41" spans="1:84" ht="14.5" x14ac:dyDescent="0.35">
      <c r="A41" s="133" t="s">
        <v>175</v>
      </c>
      <c r="B41" s="22"/>
      <c r="C41" s="153"/>
      <c r="D41" s="23" t="s">
        <v>209</v>
      </c>
      <c r="E41" s="24" t="s">
        <v>223</v>
      </c>
      <c r="F41" s="24" t="s">
        <v>223</v>
      </c>
      <c r="G41" s="24" t="s">
        <v>223</v>
      </c>
      <c r="M41" s="151">
        <v>46108</v>
      </c>
      <c r="N41" s="130">
        <v>1</v>
      </c>
      <c r="O41" s="130">
        <v>3</v>
      </c>
      <c r="BJ41" s="24">
        <v>281</v>
      </c>
      <c r="BK41" s="24">
        <v>0</v>
      </c>
      <c r="BL41" s="24">
        <v>281</v>
      </c>
      <c r="CC41" s="145"/>
    </row>
    <row r="42" spans="1:84" x14ac:dyDescent="0.35">
      <c r="A42" s="133" t="s">
        <v>175</v>
      </c>
      <c r="B42" s="22"/>
      <c r="C42" s="22"/>
      <c r="D42" s="23" t="s">
        <v>209</v>
      </c>
      <c r="E42" s="24" t="s">
        <v>223</v>
      </c>
      <c r="F42" s="24" t="s">
        <v>223</v>
      </c>
      <c r="G42" s="24" t="s">
        <v>223</v>
      </c>
      <c r="M42" s="151">
        <v>46138</v>
      </c>
      <c r="N42" s="130">
        <v>1</v>
      </c>
      <c r="O42" s="130">
        <v>3</v>
      </c>
      <c r="BJ42" s="24">
        <v>307</v>
      </c>
      <c r="BK42" s="24">
        <v>0</v>
      </c>
      <c r="BL42" s="24">
        <v>307</v>
      </c>
      <c r="CC42" s="145"/>
    </row>
    <row r="43" spans="1:84" ht="14.5" x14ac:dyDescent="0.35">
      <c r="A43" s="133" t="s">
        <v>175</v>
      </c>
      <c r="B43" s="22"/>
      <c r="C43" s="153" t="s">
        <v>222</v>
      </c>
      <c r="D43" s="23" t="s">
        <v>209</v>
      </c>
      <c r="E43" s="24" t="s">
        <v>221</v>
      </c>
      <c r="F43" s="24" t="s">
        <v>221</v>
      </c>
      <c r="G43" s="24" t="s">
        <v>221</v>
      </c>
      <c r="K43" s="24">
        <v>1046</v>
      </c>
      <c r="M43" s="151">
        <v>46082</v>
      </c>
      <c r="N43" s="130">
        <v>1</v>
      </c>
      <c r="O43" s="130">
        <v>3</v>
      </c>
      <c r="BJ43" s="24">
        <v>607</v>
      </c>
      <c r="BK43" s="24">
        <v>124</v>
      </c>
      <c r="BL43" s="24">
        <v>483</v>
      </c>
      <c r="CC43" s="145"/>
    </row>
    <row r="44" spans="1:84" x14ac:dyDescent="0.35">
      <c r="A44" s="133" t="s">
        <v>208</v>
      </c>
      <c r="B44" s="22"/>
      <c r="C44" s="22"/>
      <c r="D44" s="23" t="s">
        <v>209</v>
      </c>
      <c r="E44" s="24" t="s">
        <v>225</v>
      </c>
      <c r="F44" s="24" t="s">
        <v>225</v>
      </c>
      <c r="G44" s="24" t="s">
        <v>225</v>
      </c>
      <c r="M44" s="151">
        <v>46077</v>
      </c>
      <c r="N44" s="130">
        <v>3</v>
      </c>
      <c r="O44" s="130">
        <v>3</v>
      </c>
      <c r="BJ44" s="24">
        <v>188</v>
      </c>
      <c r="BK44" s="24">
        <v>32</v>
      </c>
      <c r="BL44" s="24">
        <v>156</v>
      </c>
      <c r="CC44" s="145"/>
    </row>
    <row r="45" spans="1:84" x14ac:dyDescent="0.35">
      <c r="A45" s="133" t="s">
        <v>208</v>
      </c>
      <c r="B45" s="22"/>
      <c r="C45" s="22"/>
      <c r="D45" s="23" t="s">
        <v>209</v>
      </c>
      <c r="E45" s="24" t="s">
        <v>224</v>
      </c>
      <c r="F45" s="24" t="s">
        <v>224</v>
      </c>
      <c r="G45" s="24" t="s">
        <v>224</v>
      </c>
      <c r="M45" s="151">
        <v>46077</v>
      </c>
      <c r="N45" s="130">
        <v>3</v>
      </c>
      <c r="O45" s="130">
        <v>3</v>
      </c>
      <c r="BJ45" s="24">
        <v>290</v>
      </c>
      <c r="BK45" s="24">
        <v>88</v>
      </c>
      <c r="BL45" s="24">
        <v>202</v>
      </c>
      <c r="CC45" s="145"/>
    </row>
    <row r="46" spans="1:84" x14ac:dyDescent="0.35">
      <c r="A46" s="133" t="s">
        <v>208</v>
      </c>
      <c r="B46" s="22"/>
      <c r="C46" s="22"/>
      <c r="D46" s="23" t="s">
        <v>209</v>
      </c>
      <c r="E46" s="24" t="s">
        <v>225</v>
      </c>
      <c r="F46" s="24" t="s">
        <v>225</v>
      </c>
      <c r="G46" s="24" t="s">
        <v>225</v>
      </c>
      <c r="M46" s="151">
        <v>46084</v>
      </c>
      <c r="N46" s="130">
        <v>3</v>
      </c>
      <c r="O46" s="130">
        <v>3</v>
      </c>
      <c r="BJ46" s="24">
        <v>329</v>
      </c>
      <c r="BK46" s="24">
        <v>60</v>
      </c>
      <c r="BL46" s="24">
        <v>269</v>
      </c>
      <c r="CC46" s="145"/>
    </row>
    <row r="47" spans="1:84" x14ac:dyDescent="0.35">
      <c r="A47" s="133" t="s">
        <v>208</v>
      </c>
      <c r="B47" s="22"/>
      <c r="C47" s="22"/>
      <c r="D47" s="23" t="s">
        <v>209</v>
      </c>
      <c r="E47" s="24" t="s">
        <v>224</v>
      </c>
      <c r="F47" s="24" t="s">
        <v>224</v>
      </c>
      <c r="G47" s="24" t="s">
        <v>224</v>
      </c>
      <c r="M47" s="151">
        <v>46084</v>
      </c>
      <c r="N47" s="130">
        <v>3</v>
      </c>
      <c r="O47" s="130">
        <v>3</v>
      </c>
      <c r="BJ47" s="24">
        <v>266</v>
      </c>
      <c r="BK47" s="24">
        <v>90</v>
      </c>
      <c r="BL47" s="24">
        <v>176</v>
      </c>
    </row>
    <row r="48" spans="1:84" x14ac:dyDescent="0.35">
      <c r="A48" s="133" t="s">
        <v>208</v>
      </c>
      <c r="B48" s="22"/>
      <c r="C48" s="22"/>
      <c r="D48" s="23" t="s">
        <v>209</v>
      </c>
      <c r="E48" s="24" t="s">
        <v>227</v>
      </c>
      <c r="F48" s="24" t="s">
        <v>227</v>
      </c>
      <c r="G48" s="24" t="s">
        <v>227</v>
      </c>
      <c r="M48" s="151">
        <v>46052</v>
      </c>
      <c r="N48" s="130">
        <v>3</v>
      </c>
      <c r="O48" s="130">
        <v>3</v>
      </c>
      <c r="BJ48" s="24">
        <v>403</v>
      </c>
      <c r="BK48" s="24">
        <v>175</v>
      </c>
      <c r="BL48" s="24">
        <v>228</v>
      </c>
    </row>
    <row r="49" spans="1:64" x14ac:dyDescent="0.35">
      <c r="A49" s="133" t="s">
        <v>175</v>
      </c>
      <c r="B49" s="22"/>
      <c r="C49" s="22"/>
      <c r="D49" s="23" t="s">
        <v>209</v>
      </c>
      <c r="E49" s="24" t="s">
        <v>226</v>
      </c>
      <c r="F49" s="24" t="s">
        <v>226</v>
      </c>
      <c r="G49" s="24" t="s">
        <v>226</v>
      </c>
      <c r="M49" s="151">
        <v>46051</v>
      </c>
      <c r="N49" s="130">
        <v>3</v>
      </c>
      <c r="O49" s="130">
        <v>3</v>
      </c>
      <c r="BJ49" s="24">
        <v>432</v>
      </c>
      <c r="BK49" s="24">
        <v>105</v>
      </c>
      <c r="BL49" s="24">
        <v>327</v>
      </c>
    </row>
    <row r="50" spans="1:64" x14ac:dyDescent="0.35">
      <c r="A50" s="133" t="s">
        <v>175</v>
      </c>
      <c r="B50" s="22"/>
      <c r="C50" s="22"/>
      <c r="D50" s="23" t="s">
        <v>209</v>
      </c>
      <c r="N50" s="130">
        <v>3</v>
      </c>
      <c r="O50" s="130">
        <v>1</v>
      </c>
    </row>
    <row r="51" spans="1:64" x14ac:dyDescent="0.35">
      <c r="A51" s="133" t="s">
        <v>175</v>
      </c>
      <c r="B51" s="22"/>
      <c r="C51" s="22"/>
      <c r="D51" s="23" t="s">
        <v>209</v>
      </c>
      <c r="N51" s="130">
        <v>3</v>
      </c>
      <c r="O51" s="130">
        <v>1</v>
      </c>
    </row>
    <row r="52" spans="1:64" x14ac:dyDescent="0.35">
      <c r="A52" s="133" t="s">
        <v>175</v>
      </c>
      <c r="B52" s="22"/>
      <c r="C52" s="22"/>
      <c r="D52" s="23" t="s">
        <v>209</v>
      </c>
      <c r="N52" s="130">
        <v>3</v>
      </c>
      <c r="O52" s="130">
        <v>1</v>
      </c>
    </row>
    <row r="53" spans="1:64" x14ac:dyDescent="0.35">
      <c r="A53" s="133" t="s">
        <v>175</v>
      </c>
      <c r="B53" s="22"/>
      <c r="C53" s="22"/>
      <c r="D53" s="23" t="s">
        <v>209</v>
      </c>
      <c r="N53" s="130">
        <v>3</v>
      </c>
      <c r="O53" s="130">
        <v>1</v>
      </c>
    </row>
    <row r="54" spans="1:64" x14ac:dyDescent="0.35">
      <c r="A54" s="133" t="s">
        <v>175</v>
      </c>
      <c r="B54" s="22"/>
      <c r="C54" s="22"/>
      <c r="D54" s="23" t="s">
        <v>209</v>
      </c>
      <c r="N54" s="130">
        <v>3</v>
      </c>
      <c r="O54" s="130">
        <v>1</v>
      </c>
    </row>
    <row r="55" spans="1:64" x14ac:dyDescent="0.35">
      <c r="A55" s="133" t="s">
        <v>175</v>
      </c>
      <c r="B55" s="22"/>
      <c r="C55" s="22"/>
      <c r="D55" s="23" t="s">
        <v>209</v>
      </c>
      <c r="N55" s="130">
        <v>3</v>
      </c>
      <c r="O55" s="130">
        <v>1</v>
      </c>
    </row>
    <row r="56" spans="1:64" x14ac:dyDescent="0.35">
      <c r="A56" s="133" t="s">
        <v>175</v>
      </c>
      <c r="B56" s="22"/>
      <c r="C56" s="22"/>
      <c r="D56" s="23" t="s">
        <v>209</v>
      </c>
      <c r="N56" s="130">
        <v>3</v>
      </c>
      <c r="O56" s="130">
        <v>1</v>
      </c>
    </row>
    <row r="57" spans="1:64" x14ac:dyDescent="0.35">
      <c r="A57" s="133" t="s">
        <v>175</v>
      </c>
      <c r="B57" s="22"/>
      <c r="C57" s="22"/>
      <c r="D57" s="23" t="s">
        <v>209</v>
      </c>
      <c r="N57" s="130">
        <v>3</v>
      </c>
      <c r="O57" s="130">
        <v>1</v>
      </c>
    </row>
    <row r="58" spans="1:64" x14ac:dyDescent="0.35">
      <c r="A58" s="133" t="s">
        <v>175</v>
      </c>
      <c r="B58" s="22"/>
      <c r="C58" s="22"/>
      <c r="N58" s="130">
        <v>3</v>
      </c>
      <c r="O58" s="130">
        <v>1</v>
      </c>
    </row>
    <row r="59" spans="1:64" x14ac:dyDescent="0.35">
      <c r="A59" s="133" t="s">
        <v>175</v>
      </c>
      <c r="B59" s="22"/>
      <c r="C59" s="22"/>
      <c r="N59" s="130">
        <v>3</v>
      </c>
      <c r="O59" s="130">
        <v>1</v>
      </c>
    </row>
    <row r="60" spans="1:64" x14ac:dyDescent="0.35">
      <c r="A60" s="133" t="s">
        <v>175</v>
      </c>
      <c r="B60" s="22"/>
      <c r="C60" s="22"/>
      <c r="N60" s="130">
        <v>3</v>
      </c>
      <c r="O60" s="130">
        <v>1</v>
      </c>
    </row>
    <row r="61" spans="1:64" x14ac:dyDescent="0.35">
      <c r="A61" s="133" t="s">
        <v>175</v>
      </c>
      <c r="B61" s="22"/>
      <c r="C61" s="22"/>
      <c r="N61" s="130">
        <v>3</v>
      </c>
      <c r="O61" s="130">
        <v>1</v>
      </c>
    </row>
    <row r="62" spans="1:64" x14ac:dyDescent="0.35">
      <c r="A62" s="133" t="s">
        <v>175</v>
      </c>
      <c r="B62" s="22"/>
      <c r="C62" s="22"/>
      <c r="N62" s="130">
        <v>3</v>
      </c>
      <c r="O62" s="130">
        <v>1</v>
      </c>
    </row>
    <row r="63" spans="1:64" x14ac:dyDescent="0.35">
      <c r="A63" s="133" t="s">
        <v>175</v>
      </c>
      <c r="B63" s="22"/>
      <c r="C63" s="22"/>
      <c r="N63" s="130">
        <v>3</v>
      </c>
      <c r="O63" s="130">
        <v>1</v>
      </c>
    </row>
    <row r="64" spans="1:64" x14ac:dyDescent="0.35">
      <c r="A64" s="133" t="s">
        <v>175</v>
      </c>
      <c r="B64" s="22"/>
      <c r="C64" s="22"/>
      <c r="N64" s="130">
        <v>3</v>
      </c>
      <c r="O64" s="130">
        <v>1</v>
      </c>
    </row>
    <row r="65" spans="1:15" x14ac:dyDescent="0.35">
      <c r="A65" s="133" t="s">
        <v>175</v>
      </c>
      <c r="B65" s="22"/>
      <c r="C65" s="22"/>
      <c r="N65" s="130">
        <v>3</v>
      </c>
      <c r="O65" s="130">
        <v>1</v>
      </c>
    </row>
    <row r="66" spans="1:15" x14ac:dyDescent="0.35">
      <c r="A66" s="133" t="s">
        <v>175</v>
      </c>
      <c r="B66" s="22"/>
      <c r="C66" s="22"/>
      <c r="N66" s="130">
        <v>3</v>
      </c>
      <c r="O66" s="130">
        <v>1</v>
      </c>
    </row>
    <row r="67" spans="1:15" x14ac:dyDescent="0.35">
      <c r="A67" s="133" t="s">
        <v>175</v>
      </c>
      <c r="B67" s="22"/>
      <c r="C67" s="22"/>
      <c r="N67" s="130">
        <v>3</v>
      </c>
      <c r="O67" s="130">
        <v>1</v>
      </c>
    </row>
    <row r="68" spans="1:15" x14ac:dyDescent="0.35">
      <c r="A68" s="133" t="s">
        <v>175</v>
      </c>
      <c r="B68" s="22"/>
      <c r="C68" s="22"/>
      <c r="N68" s="130">
        <v>3</v>
      </c>
      <c r="O68" s="130">
        <v>1</v>
      </c>
    </row>
    <row r="69" spans="1:15" x14ac:dyDescent="0.35">
      <c r="A69" s="133" t="s">
        <v>175</v>
      </c>
      <c r="B69" s="22"/>
      <c r="C69" s="22"/>
      <c r="N69" s="130">
        <v>3</v>
      </c>
      <c r="O69" s="130">
        <v>1</v>
      </c>
    </row>
    <row r="70" spans="1:15" x14ac:dyDescent="0.35">
      <c r="A70" s="133" t="s">
        <v>175</v>
      </c>
      <c r="B70" s="22"/>
      <c r="C70" s="22"/>
      <c r="N70" s="130">
        <v>3</v>
      </c>
      <c r="O70" s="130">
        <v>1</v>
      </c>
    </row>
    <row r="71" spans="1:15" x14ac:dyDescent="0.35">
      <c r="A71" s="133" t="s">
        <v>175</v>
      </c>
      <c r="B71" s="22"/>
      <c r="C71" s="22"/>
      <c r="N71" s="130">
        <v>3</v>
      </c>
      <c r="O71" s="130">
        <v>1</v>
      </c>
    </row>
    <row r="72" spans="1:15" x14ac:dyDescent="0.35">
      <c r="A72" s="133" t="s">
        <v>175</v>
      </c>
      <c r="B72" s="22"/>
      <c r="C72" s="22"/>
      <c r="N72" s="130">
        <v>3</v>
      </c>
      <c r="O72" s="130">
        <v>1</v>
      </c>
    </row>
    <row r="73" spans="1:15" x14ac:dyDescent="0.35">
      <c r="A73" s="133" t="s">
        <v>175</v>
      </c>
      <c r="B73" s="22"/>
      <c r="C73" s="22"/>
      <c r="N73" s="130">
        <v>3</v>
      </c>
      <c r="O73" s="130">
        <v>1</v>
      </c>
    </row>
    <row r="74" spans="1:15" x14ac:dyDescent="0.35">
      <c r="A74" s="133" t="s">
        <v>175</v>
      </c>
      <c r="B74" s="22"/>
      <c r="C74" s="22"/>
      <c r="N74" s="130">
        <v>3</v>
      </c>
      <c r="O74" s="130">
        <v>1</v>
      </c>
    </row>
    <row r="75" spans="1:15" x14ac:dyDescent="0.35">
      <c r="A75" s="133" t="s">
        <v>175</v>
      </c>
      <c r="B75" s="22"/>
      <c r="C75" s="22"/>
      <c r="N75" s="130">
        <v>3</v>
      </c>
      <c r="O75" s="130">
        <v>1</v>
      </c>
    </row>
    <row r="76" spans="1:15" x14ac:dyDescent="0.35">
      <c r="A76" s="133" t="s">
        <v>175</v>
      </c>
      <c r="B76" s="22"/>
      <c r="C76" s="22"/>
      <c r="N76" s="130">
        <v>3</v>
      </c>
      <c r="O76" s="130">
        <v>1</v>
      </c>
    </row>
    <row r="77" spans="1:15" x14ac:dyDescent="0.35">
      <c r="A77" s="133" t="s">
        <v>175</v>
      </c>
      <c r="B77" s="22"/>
      <c r="C77" s="22"/>
      <c r="N77" s="130">
        <v>3</v>
      </c>
      <c r="O77" s="130">
        <v>1</v>
      </c>
    </row>
    <row r="78" spans="1:15" x14ac:dyDescent="0.35">
      <c r="A78" s="133" t="s">
        <v>175</v>
      </c>
      <c r="B78" s="22"/>
      <c r="C78" s="22"/>
      <c r="N78" s="130">
        <v>3</v>
      </c>
      <c r="O78" s="130">
        <v>1</v>
      </c>
    </row>
    <row r="79" spans="1:15" x14ac:dyDescent="0.35">
      <c r="A79" s="133" t="s">
        <v>175</v>
      </c>
      <c r="B79" s="22"/>
      <c r="C79" s="22"/>
      <c r="N79" s="130">
        <v>3</v>
      </c>
      <c r="O79" s="130">
        <v>1</v>
      </c>
    </row>
    <row r="80" spans="1:15" x14ac:dyDescent="0.35">
      <c r="A80" s="133" t="s">
        <v>175</v>
      </c>
      <c r="B80" s="22"/>
      <c r="C80" s="22"/>
      <c r="N80" s="130">
        <v>3</v>
      </c>
      <c r="O80" s="130">
        <v>1</v>
      </c>
    </row>
    <row r="81" spans="1:15" x14ac:dyDescent="0.35">
      <c r="A81" s="133" t="s">
        <v>175</v>
      </c>
      <c r="B81" s="22"/>
      <c r="C81" s="22"/>
      <c r="N81" s="130">
        <v>3</v>
      </c>
      <c r="O81" s="130">
        <v>1</v>
      </c>
    </row>
    <row r="82" spans="1:15" x14ac:dyDescent="0.35">
      <c r="A82" s="133" t="s">
        <v>175</v>
      </c>
      <c r="B82" s="22"/>
      <c r="C82" s="22"/>
      <c r="N82" s="130">
        <v>3</v>
      </c>
      <c r="O82" s="130">
        <v>1</v>
      </c>
    </row>
    <row r="83" spans="1:15" x14ac:dyDescent="0.35">
      <c r="A83" s="133" t="s">
        <v>175</v>
      </c>
      <c r="B83" s="22"/>
      <c r="C83" s="22"/>
      <c r="N83" s="130">
        <v>3</v>
      </c>
      <c r="O83" s="130">
        <v>1</v>
      </c>
    </row>
    <row r="84" spans="1:15" x14ac:dyDescent="0.35">
      <c r="A84" s="133" t="s">
        <v>175</v>
      </c>
      <c r="B84" s="22"/>
      <c r="C84" s="22"/>
      <c r="N84" s="130">
        <v>3</v>
      </c>
      <c r="O84" s="130">
        <v>1</v>
      </c>
    </row>
    <row r="85" spans="1:15" x14ac:dyDescent="0.35">
      <c r="A85" s="133" t="s">
        <v>175</v>
      </c>
      <c r="B85" s="22"/>
      <c r="C85" s="22"/>
      <c r="N85" s="130">
        <v>3</v>
      </c>
      <c r="O85" s="130">
        <v>1</v>
      </c>
    </row>
    <row r="86" spans="1:15" x14ac:dyDescent="0.35">
      <c r="A86" s="133" t="s">
        <v>175</v>
      </c>
      <c r="B86" s="22"/>
      <c r="C86" s="22"/>
      <c r="N86" s="130">
        <v>3</v>
      </c>
      <c r="O86" s="130">
        <v>1</v>
      </c>
    </row>
    <row r="87" spans="1:15" x14ac:dyDescent="0.35">
      <c r="A87" s="133" t="s">
        <v>175</v>
      </c>
      <c r="B87" s="22"/>
      <c r="C87" s="22"/>
      <c r="N87" s="130">
        <v>3</v>
      </c>
      <c r="O87" s="130">
        <v>1</v>
      </c>
    </row>
    <row r="88" spans="1:15" x14ac:dyDescent="0.35">
      <c r="A88" s="133" t="s">
        <v>175</v>
      </c>
      <c r="B88" s="22"/>
      <c r="C88" s="22"/>
      <c r="N88" s="130">
        <v>3</v>
      </c>
      <c r="O88" s="130">
        <v>1</v>
      </c>
    </row>
    <row r="89" spans="1:15" x14ac:dyDescent="0.35">
      <c r="A89" s="133" t="s">
        <v>175</v>
      </c>
      <c r="B89" s="22"/>
      <c r="C89" s="22"/>
      <c r="N89" s="130">
        <v>3</v>
      </c>
      <c r="O89" s="130">
        <v>1</v>
      </c>
    </row>
    <row r="90" spans="1:15" x14ac:dyDescent="0.35">
      <c r="A90" s="133" t="s">
        <v>175</v>
      </c>
      <c r="B90" s="22"/>
      <c r="C90" s="22"/>
      <c r="N90" s="130">
        <v>3</v>
      </c>
      <c r="O90" s="130">
        <v>1</v>
      </c>
    </row>
    <row r="91" spans="1:15" x14ac:dyDescent="0.35">
      <c r="A91" s="133" t="s">
        <v>175</v>
      </c>
      <c r="B91" s="22"/>
      <c r="C91" s="22"/>
      <c r="N91" s="130">
        <v>3</v>
      </c>
      <c r="O91" s="130">
        <v>1</v>
      </c>
    </row>
    <row r="92" spans="1:15" x14ac:dyDescent="0.35">
      <c r="A92" s="133" t="s">
        <v>175</v>
      </c>
      <c r="B92" s="22"/>
      <c r="C92" s="22"/>
      <c r="N92" s="130">
        <v>3</v>
      </c>
      <c r="O92" s="130">
        <v>1</v>
      </c>
    </row>
    <row r="93" spans="1:15" x14ac:dyDescent="0.35">
      <c r="A93" s="133" t="s">
        <v>175</v>
      </c>
      <c r="B93" s="22"/>
      <c r="C93" s="22"/>
      <c r="N93" s="130">
        <v>3</v>
      </c>
      <c r="O93" s="130">
        <v>1</v>
      </c>
    </row>
    <row r="94" spans="1:15" x14ac:dyDescent="0.35">
      <c r="A94" s="133" t="s">
        <v>175</v>
      </c>
      <c r="B94" s="22"/>
      <c r="C94" s="22"/>
      <c r="N94" s="130">
        <v>3</v>
      </c>
      <c r="O94" s="130">
        <v>1</v>
      </c>
    </row>
    <row r="95" spans="1:15" x14ac:dyDescent="0.35">
      <c r="A95" s="133" t="s">
        <v>175</v>
      </c>
      <c r="B95" s="22"/>
      <c r="C95" s="22"/>
      <c r="N95" s="130">
        <v>3</v>
      </c>
      <c r="O95" s="130">
        <v>1</v>
      </c>
    </row>
    <row r="96" spans="1:15" x14ac:dyDescent="0.35">
      <c r="A96" s="133" t="s">
        <v>175</v>
      </c>
      <c r="B96" s="22"/>
      <c r="C96" s="22"/>
      <c r="N96" s="130">
        <v>3</v>
      </c>
      <c r="O96" s="130">
        <v>1</v>
      </c>
    </row>
    <row r="97" spans="1:15" x14ac:dyDescent="0.35">
      <c r="A97" s="133" t="s">
        <v>175</v>
      </c>
      <c r="B97" s="22"/>
      <c r="C97" s="22"/>
      <c r="N97" s="130">
        <v>3</v>
      </c>
      <c r="O97" s="130">
        <v>1</v>
      </c>
    </row>
    <row r="98" spans="1:15" x14ac:dyDescent="0.35">
      <c r="A98" s="133" t="s">
        <v>175</v>
      </c>
      <c r="B98" s="22"/>
      <c r="C98" s="22"/>
      <c r="N98" s="130">
        <v>3</v>
      </c>
      <c r="O98" s="130">
        <v>1</v>
      </c>
    </row>
    <row r="99" spans="1:15" x14ac:dyDescent="0.35">
      <c r="A99" s="133" t="s">
        <v>175</v>
      </c>
      <c r="B99" s="22"/>
      <c r="C99" s="22"/>
      <c r="N99" s="130">
        <v>3</v>
      </c>
      <c r="O99" s="130">
        <v>1</v>
      </c>
    </row>
    <row r="100" spans="1:15" x14ac:dyDescent="0.35">
      <c r="A100" s="133" t="s">
        <v>175</v>
      </c>
      <c r="B100" s="22"/>
      <c r="C100" s="22"/>
      <c r="N100" s="130">
        <v>3</v>
      </c>
      <c r="O100" s="130">
        <v>1</v>
      </c>
    </row>
    <row r="101" spans="1:15" x14ac:dyDescent="0.35">
      <c r="A101" s="133" t="s">
        <v>175</v>
      </c>
      <c r="B101" s="22"/>
      <c r="C101" s="22"/>
      <c r="N101" s="130">
        <v>3</v>
      </c>
      <c r="O101" s="130">
        <v>1</v>
      </c>
    </row>
    <row r="102" spans="1:15" x14ac:dyDescent="0.35">
      <c r="A102" s="133" t="s">
        <v>175</v>
      </c>
      <c r="B102" s="22"/>
      <c r="C102" s="22"/>
      <c r="N102" s="130">
        <v>3</v>
      </c>
      <c r="O102" s="130">
        <v>1</v>
      </c>
    </row>
    <row r="103" spans="1:15" x14ac:dyDescent="0.35">
      <c r="A103" s="133" t="s">
        <v>175</v>
      </c>
      <c r="B103" s="22"/>
      <c r="C103" s="22"/>
      <c r="N103" s="130">
        <v>3</v>
      </c>
      <c r="O103" s="130">
        <v>1</v>
      </c>
    </row>
    <row r="104" spans="1:15" x14ac:dyDescent="0.35">
      <c r="A104" s="133" t="s">
        <v>175</v>
      </c>
      <c r="B104" s="22"/>
      <c r="C104" s="22"/>
      <c r="N104" s="130">
        <v>3</v>
      </c>
      <c r="O104" s="130">
        <v>1</v>
      </c>
    </row>
    <row r="105" spans="1:15" x14ac:dyDescent="0.35">
      <c r="A105" s="133" t="s">
        <v>175</v>
      </c>
      <c r="B105" s="22"/>
      <c r="C105" s="22"/>
      <c r="N105" s="130">
        <v>3</v>
      </c>
      <c r="O105" s="130">
        <v>1</v>
      </c>
    </row>
    <row r="106" spans="1:15" x14ac:dyDescent="0.35">
      <c r="A106" s="133" t="s">
        <v>175</v>
      </c>
      <c r="B106" s="22"/>
      <c r="C106" s="22"/>
      <c r="N106" s="130">
        <v>3</v>
      </c>
      <c r="O106" s="130">
        <v>1</v>
      </c>
    </row>
    <row r="107" spans="1:15" x14ac:dyDescent="0.35">
      <c r="A107" s="133" t="s">
        <v>175</v>
      </c>
      <c r="B107" s="22"/>
      <c r="C107" s="22"/>
      <c r="N107" s="130">
        <v>3</v>
      </c>
      <c r="O107" s="130">
        <v>1</v>
      </c>
    </row>
    <row r="108" spans="1:15" x14ac:dyDescent="0.35">
      <c r="A108" s="133" t="s">
        <v>175</v>
      </c>
      <c r="B108" s="22"/>
      <c r="C108" s="22"/>
      <c r="N108" s="130">
        <v>3</v>
      </c>
      <c r="O108" s="130">
        <v>1</v>
      </c>
    </row>
    <row r="109" spans="1:15" x14ac:dyDescent="0.35">
      <c r="A109" s="133" t="s">
        <v>175</v>
      </c>
      <c r="B109" s="22"/>
      <c r="C109" s="22"/>
      <c r="N109" s="130">
        <v>3</v>
      </c>
      <c r="O109" s="130">
        <v>1</v>
      </c>
    </row>
    <row r="110" spans="1:15" x14ac:dyDescent="0.35">
      <c r="A110" s="133" t="s">
        <v>175</v>
      </c>
      <c r="B110" s="22"/>
      <c r="C110" s="22"/>
      <c r="N110" s="130">
        <v>3</v>
      </c>
      <c r="O110" s="130">
        <v>1</v>
      </c>
    </row>
    <row r="111" spans="1:15" x14ac:dyDescent="0.35">
      <c r="A111" s="133" t="s">
        <v>175</v>
      </c>
      <c r="B111" s="22"/>
      <c r="C111" s="22"/>
      <c r="N111" s="130">
        <v>3</v>
      </c>
      <c r="O111" s="130">
        <v>1</v>
      </c>
    </row>
    <row r="112" spans="1:15" x14ac:dyDescent="0.35">
      <c r="A112" s="133" t="s">
        <v>175</v>
      </c>
      <c r="B112" s="22"/>
      <c r="C112" s="22"/>
      <c r="N112" s="130">
        <v>3</v>
      </c>
      <c r="O112" s="130">
        <v>1</v>
      </c>
    </row>
    <row r="113" spans="1:15" x14ac:dyDescent="0.35">
      <c r="A113" s="133" t="s">
        <v>175</v>
      </c>
      <c r="B113" s="22"/>
      <c r="C113" s="22"/>
      <c r="N113" s="130">
        <v>3</v>
      </c>
      <c r="O113" s="130">
        <v>1</v>
      </c>
    </row>
    <row r="114" spans="1:15" x14ac:dyDescent="0.35">
      <c r="A114" s="133" t="s">
        <v>175</v>
      </c>
      <c r="B114" s="22"/>
      <c r="C114" s="22"/>
      <c r="N114" s="130">
        <v>3</v>
      </c>
      <c r="O114" s="130">
        <v>1</v>
      </c>
    </row>
    <row r="115" spans="1:15" x14ac:dyDescent="0.35">
      <c r="A115" s="133" t="s">
        <v>175</v>
      </c>
      <c r="B115" s="22"/>
      <c r="C115" s="22"/>
      <c r="N115" s="130">
        <v>3</v>
      </c>
      <c r="O115" s="130">
        <v>1</v>
      </c>
    </row>
    <row r="116" spans="1:15" x14ac:dyDescent="0.35">
      <c r="A116" s="133" t="s">
        <v>175</v>
      </c>
      <c r="B116" s="22"/>
      <c r="C116" s="22"/>
      <c r="N116" s="130">
        <v>3</v>
      </c>
      <c r="O116" s="130">
        <v>1</v>
      </c>
    </row>
    <row r="117" spans="1:15" x14ac:dyDescent="0.35">
      <c r="A117" s="133" t="s">
        <v>175</v>
      </c>
      <c r="B117" s="22"/>
      <c r="C117" s="22"/>
      <c r="N117" s="130">
        <v>3</v>
      </c>
      <c r="O117" s="130">
        <v>1</v>
      </c>
    </row>
    <row r="118" spans="1:15" x14ac:dyDescent="0.35">
      <c r="A118" s="133" t="s">
        <v>175</v>
      </c>
      <c r="B118" s="22"/>
      <c r="C118" s="22"/>
      <c r="N118" s="130">
        <v>3</v>
      </c>
      <c r="O118" s="130">
        <v>1</v>
      </c>
    </row>
    <row r="119" spans="1:15" x14ac:dyDescent="0.35">
      <c r="A119" s="133" t="s">
        <v>175</v>
      </c>
      <c r="B119" s="22"/>
      <c r="C119" s="22"/>
      <c r="N119" s="130">
        <v>3</v>
      </c>
      <c r="O119" s="130">
        <v>1</v>
      </c>
    </row>
    <row r="120" spans="1:15" x14ac:dyDescent="0.35">
      <c r="A120" s="133" t="s">
        <v>175</v>
      </c>
      <c r="B120" s="22"/>
      <c r="C120" s="22"/>
      <c r="N120" s="130">
        <v>3</v>
      </c>
      <c r="O120" s="130">
        <v>1</v>
      </c>
    </row>
    <row r="121" spans="1:15" x14ac:dyDescent="0.35">
      <c r="A121" s="133" t="s">
        <v>175</v>
      </c>
      <c r="B121" s="22"/>
      <c r="C121" s="22"/>
      <c r="N121" s="130">
        <v>3</v>
      </c>
      <c r="O121" s="130">
        <v>1</v>
      </c>
    </row>
    <row r="122" spans="1:15" x14ac:dyDescent="0.35">
      <c r="A122" s="133" t="s">
        <v>175</v>
      </c>
      <c r="B122" s="22"/>
      <c r="C122" s="22"/>
      <c r="N122" s="130">
        <v>3</v>
      </c>
      <c r="O122" s="130">
        <v>1</v>
      </c>
    </row>
    <row r="123" spans="1:15" x14ac:dyDescent="0.35">
      <c r="A123" s="133" t="s">
        <v>175</v>
      </c>
      <c r="B123" s="22"/>
      <c r="C123" s="22"/>
      <c r="N123" s="130">
        <v>3</v>
      </c>
      <c r="O123" s="130">
        <v>1</v>
      </c>
    </row>
    <row r="124" spans="1:15" x14ac:dyDescent="0.35">
      <c r="A124" s="133" t="s">
        <v>175</v>
      </c>
      <c r="B124" s="22"/>
      <c r="C124" s="22"/>
      <c r="N124" s="130">
        <v>3</v>
      </c>
      <c r="O124" s="130">
        <v>1</v>
      </c>
    </row>
    <row r="125" spans="1:15" x14ac:dyDescent="0.35">
      <c r="A125" s="133" t="s">
        <v>175</v>
      </c>
      <c r="B125" s="22"/>
      <c r="C125" s="22"/>
      <c r="N125" s="130">
        <v>3</v>
      </c>
      <c r="O125" s="130">
        <v>1</v>
      </c>
    </row>
    <row r="126" spans="1:15" x14ac:dyDescent="0.35">
      <c r="A126" s="133" t="s">
        <v>175</v>
      </c>
      <c r="B126" s="22"/>
      <c r="C126" s="22"/>
      <c r="N126" s="130">
        <v>3</v>
      </c>
      <c r="O126" s="130">
        <v>1</v>
      </c>
    </row>
    <row r="127" spans="1:15" x14ac:dyDescent="0.35">
      <c r="A127" s="133" t="s">
        <v>175</v>
      </c>
      <c r="B127" s="22"/>
      <c r="C127" s="22"/>
      <c r="N127" s="130">
        <v>3</v>
      </c>
      <c r="O127" s="130">
        <v>1</v>
      </c>
    </row>
    <row r="128" spans="1:15" x14ac:dyDescent="0.35">
      <c r="A128" s="133" t="s">
        <v>175</v>
      </c>
      <c r="B128" s="22"/>
      <c r="C128" s="22"/>
      <c r="N128" s="130">
        <v>3</v>
      </c>
      <c r="O128" s="130">
        <v>1</v>
      </c>
    </row>
    <row r="129" spans="1:15" x14ac:dyDescent="0.35">
      <c r="A129" s="133" t="s">
        <v>175</v>
      </c>
      <c r="B129" s="22"/>
      <c r="C129" s="22"/>
      <c r="N129" s="130">
        <v>3</v>
      </c>
      <c r="O129" s="130">
        <v>1</v>
      </c>
    </row>
    <row r="130" spans="1:15" x14ac:dyDescent="0.35">
      <c r="A130" s="133" t="s">
        <v>175</v>
      </c>
      <c r="B130" s="22"/>
      <c r="C130" s="22"/>
      <c r="N130" s="130">
        <v>3</v>
      </c>
      <c r="O130" s="130">
        <v>1</v>
      </c>
    </row>
    <row r="131" spans="1:15" x14ac:dyDescent="0.35">
      <c r="A131" s="133" t="s">
        <v>175</v>
      </c>
      <c r="B131" s="22"/>
      <c r="C131" s="22"/>
      <c r="N131" s="130">
        <v>3</v>
      </c>
      <c r="O131" s="130">
        <v>1</v>
      </c>
    </row>
    <row r="132" spans="1:15" x14ac:dyDescent="0.35">
      <c r="A132" s="133" t="s">
        <v>175</v>
      </c>
      <c r="B132" s="22"/>
      <c r="C132" s="22"/>
      <c r="N132" s="130">
        <v>3</v>
      </c>
      <c r="O132" s="130">
        <v>1</v>
      </c>
    </row>
    <row r="133" spans="1:15" x14ac:dyDescent="0.35">
      <c r="A133" s="133" t="s">
        <v>175</v>
      </c>
      <c r="B133" s="22"/>
      <c r="C133" s="22"/>
      <c r="N133" s="130">
        <v>3</v>
      </c>
      <c r="O133" s="130">
        <v>1</v>
      </c>
    </row>
    <row r="134" spans="1:15" x14ac:dyDescent="0.35">
      <c r="A134" s="133" t="s">
        <v>175</v>
      </c>
      <c r="B134" s="22"/>
      <c r="C134" s="22"/>
      <c r="N134" s="130">
        <v>3</v>
      </c>
      <c r="O134" s="130">
        <v>1</v>
      </c>
    </row>
    <row r="135" spans="1:15" x14ac:dyDescent="0.35">
      <c r="A135" s="133" t="s">
        <v>175</v>
      </c>
      <c r="B135" s="22"/>
      <c r="C135" s="22"/>
      <c r="N135" s="130">
        <v>3</v>
      </c>
      <c r="O135" s="130">
        <v>1</v>
      </c>
    </row>
    <row r="136" spans="1:15" x14ac:dyDescent="0.35">
      <c r="A136" s="133" t="s">
        <v>175</v>
      </c>
      <c r="B136" s="22"/>
      <c r="C136" s="22"/>
      <c r="N136" s="130">
        <v>3</v>
      </c>
      <c r="O136" s="130">
        <v>1</v>
      </c>
    </row>
    <row r="137" spans="1:15" x14ac:dyDescent="0.35">
      <c r="A137" s="133" t="s">
        <v>175</v>
      </c>
      <c r="B137" s="22"/>
      <c r="C137" s="22"/>
      <c r="N137" s="130">
        <v>3</v>
      </c>
      <c r="O137" s="130">
        <v>1</v>
      </c>
    </row>
    <row r="138" spans="1:15" x14ac:dyDescent="0.35">
      <c r="A138" s="133" t="s">
        <v>175</v>
      </c>
      <c r="B138" s="22"/>
      <c r="C138" s="22"/>
      <c r="N138" s="130">
        <v>3</v>
      </c>
      <c r="O138" s="130">
        <v>1</v>
      </c>
    </row>
    <row r="139" spans="1:15" x14ac:dyDescent="0.35">
      <c r="A139" s="133" t="s">
        <v>175</v>
      </c>
      <c r="B139" s="22"/>
      <c r="C139" s="22"/>
      <c r="N139" s="130">
        <v>3</v>
      </c>
      <c r="O139" s="130">
        <v>1</v>
      </c>
    </row>
    <row r="140" spans="1:15" x14ac:dyDescent="0.35">
      <c r="A140" s="133" t="s">
        <v>175</v>
      </c>
      <c r="B140" s="22"/>
      <c r="C140" s="22"/>
      <c r="N140" s="130">
        <v>3</v>
      </c>
      <c r="O140" s="130">
        <v>1</v>
      </c>
    </row>
    <row r="141" spans="1:15" x14ac:dyDescent="0.35">
      <c r="A141" s="133" t="s">
        <v>175</v>
      </c>
      <c r="B141" s="22"/>
      <c r="C141" s="22"/>
      <c r="N141" s="130">
        <v>3</v>
      </c>
      <c r="O141" s="130">
        <v>1</v>
      </c>
    </row>
    <row r="142" spans="1:15" x14ac:dyDescent="0.35">
      <c r="A142" s="133" t="s">
        <v>175</v>
      </c>
      <c r="B142" s="22"/>
      <c r="C142" s="22"/>
      <c r="N142" s="130">
        <v>3</v>
      </c>
      <c r="O142" s="130">
        <v>1</v>
      </c>
    </row>
    <row r="143" spans="1:15" x14ac:dyDescent="0.35">
      <c r="A143" s="133" t="s">
        <v>175</v>
      </c>
      <c r="B143" s="22"/>
      <c r="C143" s="22"/>
      <c r="N143" s="130">
        <v>3</v>
      </c>
      <c r="O143" s="130">
        <v>1</v>
      </c>
    </row>
    <row r="144" spans="1:15" x14ac:dyDescent="0.35">
      <c r="A144" s="133" t="s">
        <v>175</v>
      </c>
      <c r="B144" s="22"/>
      <c r="C144" s="22"/>
      <c r="N144" s="130">
        <v>3</v>
      </c>
      <c r="O144" s="130">
        <v>1</v>
      </c>
    </row>
    <row r="145" spans="1:15" x14ac:dyDescent="0.35">
      <c r="A145" s="133" t="s">
        <v>175</v>
      </c>
      <c r="B145" s="22"/>
      <c r="C145" s="22"/>
      <c r="N145" s="130">
        <v>3</v>
      </c>
      <c r="O145" s="130">
        <v>1</v>
      </c>
    </row>
    <row r="146" spans="1:15" x14ac:dyDescent="0.35">
      <c r="A146" s="133" t="s">
        <v>175</v>
      </c>
      <c r="B146" s="22"/>
      <c r="C146" s="22"/>
      <c r="N146" s="130">
        <v>3</v>
      </c>
      <c r="O146" s="130">
        <v>1</v>
      </c>
    </row>
    <row r="147" spans="1:15" x14ac:dyDescent="0.35">
      <c r="A147" s="133" t="s">
        <v>175</v>
      </c>
      <c r="B147" s="22"/>
      <c r="C147" s="22"/>
      <c r="N147" s="130">
        <v>3</v>
      </c>
      <c r="O147" s="130">
        <v>1</v>
      </c>
    </row>
    <row r="148" spans="1:15" x14ac:dyDescent="0.35">
      <c r="A148" s="133" t="s">
        <v>175</v>
      </c>
      <c r="B148" s="22"/>
      <c r="C148" s="22"/>
      <c r="N148" s="130">
        <v>3</v>
      </c>
      <c r="O148" s="130">
        <v>1</v>
      </c>
    </row>
    <row r="149" spans="1:15" x14ac:dyDescent="0.35">
      <c r="A149" s="133" t="s">
        <v>175</v>
      </c>
      <c r="B149" s="22"/>
      <c r="C149" s="22"/>
      <c r="N149" s="130">
        <v>3</v>
      </c>
      <c r="O149" s="130">
        <v>1</v>
      </c>
    </row>
    <row r="150" spans="1:15" x14ac:dyDescent="0.35">
      <c r="A150" s="133" t="s">
        <v>175</v>
      </c>
      <c r="B150" s="22"/>
      <c r="C150" s="22"/>
      <c r="N150" s="130">
        <v>3</v>
      </c>
      <c r="O150" s="130">
        <v>1</v>
      </c>
    </row>
    <row r="151" spans="1:15" x14ac:dyDescent="0.35">
      <c r="A151" s="133" t="s">
        <v>175</v>
      </c>
      <c r="B151" s="22"/>
      <c r="C151" s="22"/>
      <c r="N151" s="130">
        <v>3</v>
      </c>
      <c r="O151" s="130">
        <v>1</v>
      </c>
    </row>
    <row r="152" spans="1:15" x14ac:dyDescent="0.35">
      <c r="A152" s="133" t="s">
        <v>175</v>
      </c>
      <c r="B152" s="22"/>
      <c r="C152" s="22"/>
      <c r="N152" s="130">
        <v>3</v>
      </c>
      <c r="O152" s="130">
        <v>1</v>
      </c>
    </row>
    <row r="153" spans="1:15" x14ac:dyDescent="0.35">
      <c r="A153" s="133" t="s">
        <v>175</v>
      </c>
      <c r="B153" s="22"/>
      <c r="C153" s="22"/>
      <c r="N153" s="130">
        <v>3</v>
      </c>
      <c r="O153" s="130">
        <v>1</v>
      </c>
    </row>
    <row r="154" spans="1:15" x14ac:dyDescent="0.35">
      <c r="A154" s="133" t="s">
        <v>175</v>
      </c>
      <c r="B154" s="22"/>
      <c r="C154" s="22"/>
      <c r="N154" s="130">
        <v>3</v>
      </c>
      <c r="O154" s="130">
        <v>1</v>
      </c>
    </row>
    <row r="155" spans="1:15" x14ac:dyDescent="0.35">
      <c r="A155" s="133" t="s">
        <v>175</v>
      </c>
      <c r="B155" s="22"/>
      <c r="C155" s="22"/>
      <c r="N155" s="130">
        <v>3</v>
      </c>
      <c r="O155" s="130">
        <v>1</v>
      </c>
    </row>
    <row r="156" spans="1:15" x14ac:dyDescent="0.35">
      <c r="A156" s="133" t="s">
        <v>175</v>
      </c>
      <c r="B156" s="22"/>
      <c r="C156" s="22"/>
      <c r="N156" s="130">
        <v>3</v>
      </c>
      <c r="O156" s="130">
        <v>1</v>
      </c>
    </row>
    <row r="157" spans="1:15" x14ac:dyDescent="0.35">
      <c r="A157" s="133" t="s">
        <v>175</v>
      </c>
      <c r="B157" s="22"/>
      <c r="C157" s="22"/>
      <c r="N157" s="130">
        <v>3</v>
      </c>
      <c r="O157" s="130">
        <v>1</v>
      </c>
    </row>
    <row r="158" spans="1:15" x14ac:dyDescent="0.35">
      <c r="A158" s="133" t="s">
        <v>175</v>
      </c>
      <c r="B158" s="22"/>
      <c r="C158" s="22"/>
      <c r="N158" s="130">
        <v>3</v>
      </c>
      <c r="O158" s="130">
        <v>1</v>
      </c>
    </row>
    <row r="159" spans="1:15" x14ac:dyDescent="0.35">
      <c r="A159" s="133" t="s">
        <v>175</v>
      </c>
      <c r="B159" s="22"/>
      <c r="C159" s="22"/>
      <c r="N159" s="130">
        <v>3</v>
      </c>
      <c r="O159" s="130">
        <v>1</v>
      </c>
    </row>
    <row r="160" spans="1:15" x14ac:dyDescent="0.35">
      <c r="A160" s="133" t="s">
        <v>175</v>
      </c>
      <c r="B160" s="22"/>
      <c r="C160" s="22"/>
      <c r="N160" s="130">
        <v>3</v>
      </c>
      <c r="O160" s="130">
        <v>1</v>
      </c>
    </row>
    <row r="161" spans="1:15" x14ac:dyDescent="0.35">
      <c r="A161" s="133" t="s">
        <v>175</v>
      </c>
      <c r="B161" s="22"/>
      <c r="C161" s="22"/>
      <c r="N161" s="130">
        <v>3</v>
      </c>
      <c r="O161" s="130">
        <v>1</v>
      </c>
    </row>
    <row r="162" spans="1:15" x14ac:dyDescent="0.35">
      <c r="A162" s="133" t="s">
        <v>175</v>
      </c>
      <c r="B162" s="22"/>
      <c r="C162" s="22"/>
      <c r="N162" s="130">
        <v>3</v>
      </c>
      <c r="O162" s="130">
        <v>1</v>
      </c>
    </row>
    <row r="163" spans="1:15" x14ac:dyDescent="0.35">
      <c r="A163" s="133" t="s">
        <v>175</v>
      </c>
      <c r="B163" s="22"/>
      <c r="C163" s="22"/>
      <c r="N163" s="130">
        <v>3</v>
      </c>
      <c r="O163" s="130">
        <v>1</v>
      </c>
    </row>
    <row r="164" spans="1:15" x14ac:dyDescent="0.35">
      <c r="A164" s="133" t="s">
        <v>175</v>
      </c>
      <c r="B164" s="22"/>
      <c r="C164" s="22"/>
      <c r="N164" s="130">
        <v>3</v>
      </c>
      <c r="O164" s="130">
        <v>1</v>
      </c>
    </row>
    <row r="165" spans="1:15" x14ac:dyDescent="0.35">
      <c r="A165" s="133" t="s">
        <v>175</v>
      </c>
      <c r="B165" s="22"/>
      <c r="C165" s="22"/>
      <c r="N165" s="130">
        <v>3</v>
      </c>
      <c r="O165" s="130">
        <v>1</v>
      </c>
    </row>
    <row r="166" spans="1:15" x14ac:dyDescent="0.35">
      <c r="A166" s="133" t="s">
        <v>175</v>
      </c>
      <c r="B166" s="22"/>
      <c r="C166" s="22"/>
      <c r="N166" s="130">
        <v>3</v>
      </c>
      <c r="O166" s="130">
        <v>1</v>
      </c>
    </row>
    <row r="167" spans="1:15" x14ac:dyDescent="0.35">
      <c r="A167" s="133" t="s">
        <v>175</v>
      </c>
      <c r="B167" s="22"/>
      <c r="C167" s="22"/>
      <c r="N167" s="130">
        <v>3</v>
      </c>
      <c r="O167" s="130">
        <v>1</v>
      </c>
    </row>
    <row r="168" spans="1:15" x14ac:dyDescent="0.35">
      <c r="A168" s="133" t="s">
        <v>175</v>
      </c>
      <c r="B168" s="22"/>
      <c r="C168" s="22"/>
      <c r="N168" s="130">
        <v>3</v>
      </c>
      <c r="O168" s="130">
        <v>1</v>
      </c>
    </row>
    <row r="169" spans="1:15" x14ac:dyDescent="0.35">
      <c r="A169" s="133" t="s">
        <v>175</v>
      </c>
      <c r="B169" s="22"/>
      <c r="C169" s="22"/>
      <c r="N169" s="130">
        <v>3</v>
      </c>
      <c r="O169" s="130">
        <v>1</v>
      </c>
    </row>
    <row r="170" spans="1:15" x14ac:dyDescent="0.35">
      <c r="A170" s="133" t="s">
        <v>175</v>
      </c>
      <c r="B170" s="22"/>
      <c r="C170" s="22"/>
      <c r="N170" s="130">
        <v>3</v>
      </c>
      <c r="O170" s="130">
        <v>1</v>
      </c>
    </row>
    <row r="171" spans="1:15" x14ac:dyDescent="0.35">
      <c r="A171" s="133" t="s">
        <v>175</v>
      </c>
      <c r="B171" s="22"/>
      <c r="C171" s="22"/>
      <c r="N171" s="130">
        <v>3</v>
      </c>
      <c r="O171" s="130">
        <v>1</v>
      </c>
    </row>
    <row r="172" spans="1:15" x14ac:dyDescent="0.35">
      <c r="A172" s="133" t="s">
        <v>175</v>
      </c>
      <c r="B172" s="22"/>
      <c r="C172" s="22"/>
      <c r="N172" s="130">
        <v>3</v>
      </c>
      <c r="O172" s="130">
        <v>1</v>
      </c>
    </row>
    <row r="173" spans="1:15" x14ac:dyDescent="0.35">
      <c r="A173" s="133" t="s">
        <v>175</v>
      </c>
      <c r="B173" s="22"/>
      <c r="C173" s="22"/>
      <c r="N173" s="130">
        <v>3</v>
      </c>
      <c r="O173" s="130">
        <v>1</v>
      </c>
    </row>
    <row r="174" spans="1:15" x14ac:dyDescent="0.35">
      <c r="A174" s="133" t="s">
        <v>175</v>
      </c>
      <c r="B174" s="22"/>
      <c r="C174" s="22"/>
      <c r="N174" s="130">
        <v>3</v>
      </c>
      <c r="O174" s="130">
        <v>1</v>
      </c>
    </row>
    <row r="175" spans="1:15" x14ac:dyDescent="0.35">
      <c r="A175" s="133" t="s">
        <v>175</v>
      </c>
      <c r="B175" s="22"/>
      <c r="C175" s="22"/>
      <c r="N175" s="130">
        <v>3</v>
      </c>
      <c r="O175" s="130">
        <v>1</v>
      </c>
    </row>
    <row r="176" spans="1:15" x14ac:dyDescent="0.35">
      <c r="A176" s="133" t="s">
        <v>175</v>
      </c>
      <c r="B176" s="22"/>
      <c r="C176" s="22"/>
      <c r="N176" s="130">
        <v>3</v>
      </c>
      <c r="O176" s="130">
        <v>1</v>
      </c>
    </row>
    <row r="177" spans="1:15" x14ac:dyDescent="0.35">
      <c r="A177" s="133" t="s">
        <v>175</v>
      </c>
      <c r="B177" s="22"/>
      <c r="C177" s="22"/>
      <c r="N177" s="130">
        <v>3</v>
      </c>
      <c r="O177" s="130">
        <v>1</v>
      </c>
    </row>
    <row r="178" spans="1:15" x14ac:dyDescent="0.35">
      <c r="A178" s="133" t="s">
        <v>175</v>
      </c>
      <c r="B178" s="22"/>
      <c r="C178" s="22"/>
      <c r="N178" s="130">
        <v>3</v>
      </c>
      <c r="O178" s="130">
        <v>1</v>
      </c>
    </row>
    <row r="179" spans="1:15" x14ac:dyDescent="0.35">
      <c r="A179" s="133" t="s">
        <v>175</v>
      </c>
      <c r="B179" s="22"/>
      <c r="C179" s="22"/>
      <c r="N179" s="130">
        <v>3</v>
      </c>
      <c r="O179" s="130">
        <v>1</v>
      </c>
    </row>
    <row r="180" spans="1:15" x14ac:dyDescent="0.35">
      <c r="A180" s="133" t="s">
        <v>175</v>
      </c>
      <c r="B180" s="22"/>
      <c r="C180" s="22"/>
      <c r="N180" s="130">
        <v>3</v>
      </c>
      <c r="O180" s="130">
        <v>1</v>
      </c>
    </row>
    <row r="181" spans="1:15" x14ac:dyDescent="0.35">
      <c r="A181" s="133" t="s">
        <v>175</v>
      </c>
      <c r="B181" s="22"/>
      <c r="C181" s="22"/>
      <c r="N181" s="130">
        <v>3</v>
      </c>
      <c r="O181" s="130">
        <v>1</v>
      </c>
    </row>
    <row r="182" spans="1:15" x14ac:dyDescent="0.35">
      <c r="A182" s="133" t="s">
        <v>175</v>
      </c>
      <c r="B182" s="22"/>
      <c r="C182" s="22"/>
      <c r="N182" s="130">
        <v>3</v>
      </c>
      <c r="O182" s="130">
        <v>1</v>
      </c>
    </row>
    <row r="183" spans="1:15" x14ac:dyDescent="0.35">
      <c r="A183" s="133" t="s">
        <v>175</v>
      </c>
      <c r="B183" s="22"/>
      <c r="C183" s="22"/>
      <c r="N183" s="130">
        <v>3</v>
      </c>
      <c r="O183" s="130">
        <v>1</v>
      </c>
    </row>
    <row r="184" spans="1:15" x14ac:dyDescent="0.35">
      <c r="A184" s="133" t="s">
        <v>175</v>
      </c>
      <c r="B184" s="22"/>
      <c r="C184" s="22"/>
      <c r="N184" s="130">
        <v>3</v>
      </c>
      <c r="O184" s="130">
        <v>1</v>
      </c>
    </row>
    <row r="185" spans="1:15" x14ac:dyDescent="0.35">
      <c r="A185" s="133" t="s">
        <v>175</v>
      </c>
      <c r="B185" s="22"/>
      <c r="C185" s="22"/>
      <c r="N185" s="130">
        <v>3</v>
      </c>
      <c r="O185" s="130">
        <v>1</v>
      </c>
    </row>
    <row r="186" spans="1:15" x14ac:dyDescent="0.35">
      <c r="A186" s="133" t="s">
        <v>175</v>
      </c>
      <c r="B186" s="22"/>
      <c r="C186" s="22"/>
      <c r="N186" s="130">
        <v>3</v>
      </c>
      <c r="O186" s="130">
        <v>1</v>
      </c>
    </row>
    <row r="187" spans="1:15" x14ac:dyDescent="0.35">
      <c r="A187" s="133" t="s">
        <v>175</v>
      </c>
      <c r="B187" s="22"/>
      <c r="C187" s="22"/>
      <c r="N187" s="130">
        <v>3</v>
      </c>
      <c r="O187" s="130">
        <v>1</v>
      </c>
    </row>
    <row r="188" spans="1:15" x14ac:dyDescent="0.35">
      <c r="A188" s="133" t="s">
        <v>175</v>
      </c>
      <c r="B188" s="22"/>
      <c r="C188" s="22"/>
      <c r="N188" s="130">
        <v>3</v>
      </c>
      <c r="O188" s="130">
        <v>1</v>
      </c>
    </row>
    <row r="189" spans="1:15" x14ac:dyDescent="0.35">
      <c r="A189" s="133" t="s">
        <v>175</v>
      </c>
      <c r="B189" s="22"/>
      <c r="C189" s="22"/>
      <c r="N189" s="130">
        <v>3</v>
      </c>
      <c r="O189" s="130">
        <v>1</v>
      </c>
    </row>
    <row r="190" spans="1:15" x14ac:dyDescent="0.35">
      <c r="A190" s="133" t="s">
        <v>175</v>
      </c>
      <c r="B190" s="22"/>
      <c r="C190" s="22"/>
      <c r="N190" s="130">
        <v>3</v>
      </c>
      <c r="O190" s="130">
        <v>1</v>
      </c>
    </row>
    <row r="191" spans="1:15" x14ac:dyDescent="0.35">
      <c r="A191" s="133" t="s">
        <v>175</v>
      </c>
      <c r="B191" s="22"/>
      <c r="C191" s="22"/>
      <c r="N191" s="130">
        <v>3</v>
      </c>
      <c r="O191" s="130">
        <v>1</v>
      </c>
    </row>
    <row r="192" spans="1:15" x14ac:dyDescent="0.35">
      <c r="A192" s="133" t="s">
        <v>175</v>
      </c>
      <c r="B192" s="22"/>
      <c r="C192" s="22"/>
      <c r="N192" s="130">
        <v>3</v>
      </c>
      <c r="O192" s="130">
        <v>1</v>
      </c>
    </row>
    <row r="193" spans="1:15" x14ac:dyDescent="0.35">
      <c r="A193" s="133" t="s">
        <v>175</v>
      </c>
      <c r="B193" s="22"/>
      <c r="C193" s="22"/>
      <c r="N193" s="130">
        <v>3</v>
      </c>
      <c r="O193" s="130">
        <v>1</v>
      </c>
    </row>
    <row r="194" spans="1:15" x14ac:dyDescent="0.35">
      <c r="A194" s="133" t="s">
        <v>175</v>
      </c>
      <c r="B194" s="22"/>
      <c r="C194" s="22"/>
      <c r="N194" s="130">
        <v>3</v>
      </c>
      <c r="O194" s="130">
        <v>1</v>
      </c>
    </row>
    <row r="195" spans="1:15" x14ac:dyDescent="0.35">
      <c r="A195" s="133" t="s">
        <v>175</v>
      </c>
      <c r="B195" s="22"/>
      <c r="C195" s="22"/>
      <c r="N195" s="130">
        <v>3</v>
      </c>
      <c r="O195" s="130">
        <v>1</v>
      </c>
    </row>
    <row r="196" spans="1:15" x14ac:dyDescent="0.35">
      <c r="A196" s="133" t="s">
        <v>175</v>
      </c>
      <c r="B196" s="22"/>
      <c r="C196" s="22"/>
      <c r="N196" s="130">
        <v>3</v>
      </c>
      <c r="O196" s="130">
        <v>1</v>
      </c>
    </row>
    <row r="197" spans="1:15" x14ac:dyDescent="0.35">
      <c r="A197" s="133" t="s">
        <v>175</v>
      </c>
      <c r="B197" s="22"/>
      <c r="C197" s="22"/>
      <c r="N197" s="130">
        <v>3</v>
      </c>
      <c r="O197" s="130">
        <v>1</v>
      </c>
    </row>
    <row r="198" spans="1:15" x14ac:dyDescent="0.35">
      <c r="A198" s="133" t="s">
        <v>175</v>
      </c>
      <c r="B198" s="22"/>
      <c r="C198" s="22"/>
      <c r="N198" s="130">
        <v>3</v>
      </c>
      <c r="O198" s="130">
        <v>1</v>
      </c>
    </row>
    <row r="199" spans="1:15" x14ac:dyDescent="0.35">
      <c r="A199" s="133" t="s">
        <v>175</v>
      </c>
      <c r="B199" s="22"/>
      <c r="C199" s="22"/>
      <c r="N199" s="130">
        <v>3</v>
      </c>
      <c r="O199" s="130">
        <v>1</v>
      </c>
    </row>
    <row r="200" spans="1:15" x14ac:dyDescent="0.35">
      <c r="A200" s="133" t="s">
        <v>175</v>
      </c>
      <c r="B200" s="22"/>
      <c r="C200" s="22"/>
      <c r="N200" s="130">
        <v>3</v>
      </c>
      <c r="O200" s="130">
        <v>1</v>
      </c>
    </row>
    <row r="201" spans="1:15" x14ac:dyDescent="0.35">
      <c r="A201" s="133" t="s">
        <v>175</v>
      </c>
      <c r="B201" s="22"/>
      <c r="C201" s="22"/>
      <c r="N201" s="130">
        <v>3</v>
      </c>
      <c r="O201" s="130">
        <v>1</v>
      </c>
    </row>
    <row r="202" spans="1:15" x14ac:dyDescent="0.35">
      <c r="A202" s="133" t="s">
        <v>175</v>
      </c>
      <c r="B202" s="22"/>
      <c r="C202" s="22"/>
      <c r="N202" s="130">
        <v>3</v>
      </c>
      <c r="O202" s="130">
        <v>1</v>
      </c>
    </row>
    <row r="203" spans="1:15" x14ac:dyDescent="0.35">
      <c r="A203" s="133" t="s">
        <v>175</v>
      </c>
      <c r="B203" s="22"/>
      <c r="C203" s="22"/>
      <c r="N203" s="130">
        <v>3</v>
      </c>
      <c r="O203" s="130">
        <v>1</v>
      </c>
    </row>
    <row r="204" spans="1:15" x14ac:dyDescent="0.35">
      <c r="A204" s="133" t="s">
        <v>175</v>
      </c>
      <c r="B204" s="22"/>
      <c r="C204" s="22"/>
      <c r="N204" s="130">
        <v>3</v>
      </c>
      <c r="O204" s="130">
        <v>1</v>
      </c>
    </row>
    <row r="205" spans="1:15" x14ac:dyDescent="0.35">
      <c r="A205" s="133" t="s">
        <v>175</v>
      </c>
      <c r="B205" s="22"/>
      <c r="C205" s="22"/>
      <c r="N205" s="130">
        <v>3</v>
      </c>
      <c r="O205" s="130">
        <v>1</v>
      </c>
    </row>
    <row r="206" spans="1:15" x14ac:dyDescent="0.35">
      <c r="A206" s="133" t="s">
        <v>175</v>
      </c>
      <c r="B206" s="22"/>
      <c r="C206" s="22"/>
      <c r="N206" s="130">
        <v>3</v>
      </c>
      <c r="O206" s="130">
        <v>1</v>
      </c>
    </row>
    <row r="207" spans="1:15" x14ac:dyDescent="0.35">
      <c r="A207" s="133" t="s">
        <v>175</v>
      </c>
      <c r="B207" s="22"/>
      <c r="C207" s="22"/>
      <c r="N207" s="130">
        <v>3</v>
      </c>
      <c r="O207" s="130">
        <v>1</v>
      </c>
    </row>
    <row r="208" spans="1:15" x14ac:dyDescent="0.35">
      <c r="A208" s="133" t="s">
        <v>175</v>
      </c>
      <c r="B208" s="22"/>
      <c r="C208" s="22"/>
      <c r="N208" s="130">
        <v>3</v>
      </c>
      <c r="O208" s="130">
        <v>1</v>
      </c>
    </row>
    <row r="209" spans="1:15" x14ac:dyDescent="0.35">
      <c r="A209" s="133" t="s">
        <v>175</v>
      </c>
      <c r="B209" s="22"/>
      <c r="C209" s="22"/>
      <c r="N209" s="130">
        <v>3</v>
      </c>
      <c r="O209" s="130">
        <v>1</v>
      </c>
    </row>
    <row r="210" spans="1:15" x14ac:dyDescent="0.35">
      <c r="A210" s="133" t="s">
        <v>175</v>
      </c>
      <c r="B210" s="22"/>
      <c r="C210" s="22"/>
      <c r="N210" s="130">
        <v>3</v>
      </c>
      <c r="O210" s="130">
        <v>1</v>
      </c>
    </row>
    <row r="211" spans="1:15" x14ac:dyDescent="0.35">
      <c r="A211" s="133" t="s">
        <v>175</v>
      </c>
      <c r="B211" s="22"/>
      <c r="C211" s="22"/>
      <c r="N211" s="130">
        <v>3</v>
      </c>
      <c r="O211" s="130">
        <v>1</v>
      </c>
    </row>
    <row r="212" spans="1:15" x14ac:dyDescent="0.35">
      <c r="A212" s="133" t="s">
        <v>175</v>
      </c>
      <c r="B212" s="22"/>
      <c r="C212" s="22"/>
      <c r="N212" s="130">
        <v>3</v>
      </c>
      <c r="O212" s="130">
        <v>1</v>
      </c>
    </row>
    <row r="213" spans="1:15" x14ac:dyDescent="0.35">
      <c r="A213" s="133" t="s">
        <v>175</v>
      </c>
      <c r="B213" s="22"/>
      <c r="C213" s="22"/>
      <c r="N213" s="130">
        <v>3</v>
      </c>
      <c r="O213" s="130">
        <v>1</v>
      </c>
    </row>
    <row r="214" spans="1:15" x14ac:dyDescent="0.35">
      <c r="A214" s="133" t="s">
        <v>175</v>
      </c>
      <c r="B214" s="22"/>
      <c r="C214" s="22"/>
      <c r="N214" s="130">
        <v>3</v>
      </c>
      <c r="O214" s="130">
        <v>1</v>
      </c>
    </row>
    <row r="215" spans="1:15" x14ac:dyDescent="0.35">
      <c r="A215" s="133" t="s">
        <v>175</v>
      </c>
      <c r="B215" s="22"/>
      <c r="C215" s="22"/>
      <c r="N215" s="130">
        <v>3</v>
      </c>
      <c r="O215" s="130">
        <v>1</v>
      </c>
    </row>
    <row r="216" spans="1:15" x14ac:dyDescent="0.35">
      <c r="A216" s="133" t="s">
        <v>175</v>
      </c>
      <c r="B216" s="22"/>
      <c r="C216" s="22"/>
      <c r="N216" s="130">
        <v>3</v>
      </c>
      <c r="O216" s="130">
        <v>1</v>
      </c>
    </row>
    <row r="217" spans="1:15" x14ac:dyDescent="0.35">
      <c r="A217" s="133" t="s">
        <v>175</v>
      </c>
      <c r="B217" s="22"/>
      <c r="C217" s="22"/>
      <c r="N217" s="130">
        <v>3</v>
      </c>
      <c r="O217" s="130">
        <v>1</v>
      </c>
    </row>
    <row r="218" spans="1:15" x14ac:dyDescent="0.35">
      <c r="A218" s="133" t="s">
        <v>175</v>
      </c>
      <c r="B218" s="22"/>
      <c r="C218" s="22"/>
      <c r="N218" s="130">
        <v>3</v>
      </c>
      <c r="O218" s="130">
        <v>1</v>
      </c>
    </row>
    <row r="219" spans="1:15" x14ac:dyDescent="0.35">
      <c r="A219" s="133" t="s">
        <v>175</v>
      </c>
      <c r="B219" s="22"/>
      <c r="C219" s="22"/>
      <c r="N219" s="130">
        <v>3</v>
      </c>
      <c r="O219" s="130">
        <v>1</v>
      </c>
    </row>
    <row r="220" spans="1:15" x14ac:dyDescent="0.35">
      <c r="A220" s="133" t="s">
        <v>175</v>
      </c>
      <c r="B220" s="22"/>
      <c r="C220" s="22"/>
      <c r="N220" s="130">
        <v>3</v>
      </c>
      <c r="O220" s="130">
        <v>1</v>
      </c>
    </row>
    <row r="221" spans="1:15" x14ac:dyDescent="0.35">
      <c r="A221" s="133" t="s">
        <v>175</v>
      </c>
      <c r="B221" s="22"/>
      <c r="C221" s="22"/>
      <c r="N221" s="130">
        <v>3</v>
      </c>
      <c r="O221" s="130">
        <v>1</v>
      </c>
    </row>
    <row r="222" spans="1:15" x14ac:dyDescent="0.35">
      <c r="A222" s="133" t="s">
        <v>175</v>
      </c>
      <c r="B222" s="22"/>
      <c r="C222" s="22"/>
      <c r="N222" s="130">
        <v>3</v>
      </c>
      <c r="O222" s="130">
        <v>1</v>
      </c>
    </row>
    <row r="223" spans="1:15" x14ac:dyDescent="0.35">
      <c r="A223" s="133" t="s">
        <v>175</v>
      </c>
      <c r="B223" s="22"/>
      <c r="C223" s="22"/>
      <c r="N223" s="130">
        <v>3</v>
      </c>
      <c r="O223" s="130">
        <v>1</v>
      </c>
    </row>
    <row r="224" spans="1:15" x14ac:dyDescent="0.35">
      <c r="A224" s="133" t="s">
        <v>175</v>
      </c>
      <c r="B224" s="22"/>
      <c r="C224" s="22"/>
      <c r="N224" s="130">
        <v>3</v>
      </c>
      <c r="O224" s="130">
        <v>1</v>
      </c>
    </row>
    <row r="225" spans="1:15" x14ac:dyDescent="0.35">
      <c r="A225" s="133" t="s">
        <v>175</v>
      </c>
      <c r="B225" s="22"/>
      <c r="C225" s="22"/>
      <c r="N225" s="130">
        <v>3</v>
      </c>
      <c r="O225" s="130">
        <v>1</v>
      </c>
    </row>
    <row r="226" spans="1:15" x14ac:dyDescent="0.35">
      <c r="A226" s="133" t="s">
        <v>175</v>
      </c>
      <c r="B226" s="22"/>
      <c r="C226" s="22"/>
      <c r="N226" s="130">
        <v>3</v>
      </c>
      <c r="O226" s="130">
        <v>1</v>
      </c>
    </row>
    <row r="227" spans="1:15" x14ac:dyDescent="0.35">
      <c r="A227" s="133" t="s">
        <v>175</v>
      </c>
      <c r="B227" s="22"/>
      <c r="C227" s="22"/>
      <c r="N227" s="130">
        <v>3</v>
      </c>
      <c r="O227" s="130">
        <v>1</v>
      </c>
    </row>
    <row r="228" spans="1:15" x14ac:dyDescent="0.35">
      <c r="A228" s="133" t="s">
        <v>175</v>
      </c>
      <c r="B228" s="22"/>
      <c r="C228" s="22"/>
      <c r="N228" s="130">
        <v>3</v>
      </c>
      <c r="O228" s="130">
        <v>1</v>
      </c>
    </row>
    <row r="229" spans="1:15" x14ac:dyDescent="0.35">
      <c r="A229" s="133" t="s">
        <v>175</v>
      </c>
      <c r="B229" s="22"/>
      <c r="C229" s="22"/>
      <c r="N229" s="130">
        <v>3</v>
      </c>
      <c r="O229" s="130">
        <v>1</v>
      </c>
    </row>
    <row r="230" spans="1:15" x14ac:dyDescent="0.35">
      <c r="A230" s="133" t="s">
        <v>175</v>
      </c>
      <c r="B230" s="22"/>
      <c r="C230" s="22"/>
      <c r="N230" s="130">
        <v>3</v>
      </c>
      <c r="O230" s="130">
        <v>1</v>
      </c>
    </row>
    <row r="231" spans="1:15" x14ac:dyDescent="0.35">
      <c r="A231" s="133" t="s">
        <v>175</v>
      </c>
      <c r="B231" s="22"/>
      <c r="C231" s="22"/>
      <c r="N231" s="130">
        <v>3</v>
      </c>
      <c r="O231" s="130">
        <v>1</v>
      </c>
    </row>
    <row r="232" spans="1:15" x14ac:dyDescent="0.35">
      <c r="A232" s="133" t="s">
        <v>175</v>
      </c>
      <c r="B232" s="22"/>
      <c r="C232" s="22"/>
      <c r="N232" s="130">
        <v>3</v>
      </c>
      <c r="O232" s="130">
        <v>1</v>
      </c>
    </row>
    <row r="233" spans="1:15" x14ac:dyDescent="0.35">
      <c r="A233" s="133" t="s">
        <v>175</v>
      </c>
      <c r="B233" s="22"/>
      <c r="C233" s="22"/>
      <c r="N233" s="130">
        <v>3</v>
      </c>
      <c r="O233" s="130">
        <v>1</v>
      </c>
    </row>
    <row r="234" spans="1:15" x14ac:dyDescent="0.35">
      <c r="A234" s="133" t="s">
        <v>175</v>
      </c>
      <c r="B234" s="22"/>
      <c r="C234" s="22"/>
      <c r="N234" s="130">
        <v>3</v>
      </c>
      <c r="O234" s="130">
        <v>1</v>
      </c>
    </row>
    <row r="235" spans="1:15" x14ac:dyDescent="0.35">
      <c r="A235" s="133" t="s">
        <v>175</v>
      </c>
      <c r="B235" s="22"/>
      <c r="C235" s="22"/>
      <c r="N235" s="130">
        <v>3</v>
      </c>
      <c r="O235" s="130">
        <v>1</v>
      </c>
    </row>
    <row r="236" spans="1:15" x14ac:dyDescent="0.35">
      <c r="A236" s="133" t="s">
        <v>175</v>
      </c>
      <c r="B236" s="22"/>
      <c r="C236" s="22"/>
      <c r="N236" s="130">
        <v>3</v>
      </c>
      <c r="O236" s="130">
        <v>1</v>
      </c>
    </row>
    <row r="237" spans="1:15" x14ac:dyDescent="0.35">
      <c r="A237" s="133" t="s">
        <v>175</v>
      </c>
      <c r="B237" s="22"/>
      <c r="C237" s="22"/>
      <c r="N237" s="130">
        <v>3</v>
      </c>
      <c r="O237" s="130">
        <v>1</v>
      </c>
    </row>
    <row r="238" spans="1:15" x14ac:dyDescent="0.35">
      <c r="A238" s="133" t="s">
        <v>175</v>
      </c>
      <c r="B238" s="22"/>
      <c r="C238" s="22"/>
      <c r="N238" s="130">
        <v>3</v>
      </c>
      <c r="O238" s="130">
        <v>1</v>
      </c>
    </row>
    <row r="239" spans="1:15" x14ac:dyDescent="0.35">
      <c r="A239" s="133" t="s">
        <v>175</v>
      </c>
      <c r="B239" s="22"/>
      <c r="C239" s="22"/>
      <c r="N239" s="130">
        <v>3</v>
      </c>
      <c r="O239" s="130">
        <v>1</v>
      </c>
    </row>
    <row r="240" spans="1:15" x14ac:dyDescent="0.35">
      <c r="A240" s="133" t="s">
        <v>175</v>
      </c>
      <c r="B240" s="22"/>
      <c r="C240" s="22"/>
      <c r="N240" s="130">
        <v>3</v>
      </c>
      <c r="O240" s="130">
        <v>1</v>
      </c>
    </row>
    <row r="241" spans="1:15" x14ac:dyDescent="0.35">
      <c r="A241" s="133" t="s">
        <v>175</v>
      </c>
      <c r="B241" s="22"/>
      <c r="C241" s="22"/>
      <c r="N241" s="130">
        <v>3</v>
      </c>
      <c r="O241" s="130">
        <v>1</v>
      </c>
    </row>
    <row r="242" spans="1:15" x14ac:dyDescent="0.35">
      <c r="A242" s="133" t="s">
        <v>175</v>
      </c>
      <c r="B242" s="22"/>
      <c r="C242" s="22"/>
      <c r="N242" s="130">
        <v>3</v>
      </c>
      <c r="O242" s="130">
        <v>1</v>
      </c>
    </row>
    <row r="243" spans="1:15" x14ac:dyDescent="0.35">
      <c r="A243" s="133" t="s">
        <v>175</v>
      </c>
      <c r="B243" s="22"/>
      <c r="C243" s="22"/>
      <c r="N243" s="130">
        <v>3</v>
      </c>
      <c r="O243" s="130">
        <v>1</v>
      </c>
    </row>
    <row r="244" spans="1:15" x14ac:dyDescent="0.35">
      <c r="A244" s="133" t="s">
        <v>175</v>
      </c>
      <c r="B244" s="22"/>
      <c r="C244" s="22"/>
      <c r="N244" s="130">
        <v>3</v>
      </c>
      <c r="O244" s="130">
        <v>1</v>
      </c>
    </row>
    <row r="245" spans="1:15" x14ac:dyDescent="0.35">
      <c r="A245" s="133" t="s">
        <v>175</v>
      </c>
      <c r="B245" s="22"/>
      <c r="C245" s="22"/>
      <c r="N245" s="130">
        <v>3</v>
      </c>
      <c r="O245" s="130">
        <v>1</v>
      </c>
    </row>
    <row r="246" spans="1:15" x14ac:dyDescent="0.35">
      <c r="A246" s="133" t="s">
        <v>175</v>
      </c>
      <c r="B246" s="22"/>
      <c r="C246" s="22"/>
      <c r="N246" s="130">
        <v>3</v>
      </c>
      <c r="O246" s="130">
        <v>1</v>
      </c>
    </row>
    <row r="247" spans="1:15" x14ac:dyDescent="0.35">
      <c r="A247" s="133" t="s">
        <v>175</v>
      </c>
      <c r="B247" s="22"/>
      <c r="C247" s="22"/>
      <c r="N247" s="130">
        <v>3</v>
      </c>
      <c r="O247" s="130">
        <v>1</v>
      </c>
    </row>
    <row r="248" spans="1:15" x14ac:dyDescent="0.35">
      <c r="A248" s="133" t="s">
        <v>175</v>
      </c>
      <c r="B248" s="22"/>
      <c r="C248" s="22"/>
      <c r="N248" s="130">
        <v>3</v>
      </c>
      <c r="O248" s="130">
        <v>1</v>
      </c>
    </row>
    <row r="249" spans="1:15" x14ac:dyDescent="0.35">
      <c r="A249" s="133" t="s">
        <v>175</v>
      </c>
      <c r="B249" s="22"/>
      <c r="C249" s="22"/>
      <c r="N249" s="130">
        <v>3</v>
      </c>
      <c r="O249" s="130">
        <v>1</v>
      </c>
    </row>
    <row r="250" spans="1:15" x14ac:dyDescent="0.35">
      <c r="A250" s="133" t="s">
        <v>175</v>
      </c>
      <c r="B250" s="22"/>
      <c r="C250" s="22"/>
      <c r="N250" s="130">
        <v>3</v>
      </c>
      <c r="O250" s="130">
        <v>1</v>
      </c>
    </row>
    <row r="251" spans="1:15" x14ac:dyDescent="0.35">
      <c r="A251" s="133" t="s">
        <v>175</v>
      </c>
      <c r="B251" s="22"/>
      <c r="C251" s="22"/>
      <c r="N251" s="130">
        <v>3</v>
      </c>
      <c r="O251" s="130">
        <v>1</v>
      </c>
    </row>
    <row r="252" spans="1:15" x14ac:dyDescent="0.35">
      <c r="A252" s="133" t="s">
        <v>175</v>
      </c>
      <c r="B252" s="22"/>
      <c r="C252" s="22"/>
      <c r="N252" s="130">
        <v>3</v>
      </c>
      <c r="O252" s="130">
        <v>1</v>
      </c>
    </row>
    <row r="253" spans="1:15" x14ac:dyDescent="0.35">
      <c r="A253" s="133" t="s">
        <v>175</v>
      </c>
      <c r="B253" s="22"/>
      <c r="C253" s="22"/>
      <c r="N253" s="130">
        <v>3</v>
      </c>
      <c r="O253" s="130">
        <v>1</v>
      </c>
    </row>
    <row r="254" spans="1:15" x14ac:dyDescent="0.35">
      <c r="A254" s="133" t="s">
        <v>175</v>
      </c>
      <c r="B254" s="22"/>
      <c r="C254" s="22"/>
      <c r="N254" s="130">
        <v>3</v>
      </c>
      <c r="O254" s="130">
        <v>1</v>
      </c>
    </row>
    <row r="255" spans="1:15" x14ac:dyDescent="0.35">
      <c r="A255" s="133" t="s">
        <v>175</v>
      </c>
      <c r="B255" s="22"/>
      <c r="C255" s="22"/>
      <c r="N255" s="130">
        <v>3</v>
      </c>
      <c r="O255" s="130">
        <v>1</v>
      </c>
    </row>
    <row r="256" spans="1:15" x14ac:dyDescent="0.35">
      <c r="A256" s="133" t="s">
        <v>175</v>
      </c>
      <c r="B256" s="22"/>
      <c r="C256" s="22"/>
      <c r="N256" s="130">
        <v>3</v>
      </c>
      <c r="O256" s="130">
        <v>1</v>
      </c>
    </row>
    <row r="257" spans="1:15" x14ac:dyDescent="0.35">
      <c r="A257" s="133" t="s">
        <v>175</v>
      </c>
      <c r="B257" s="22"/>
      <c r="C257" s="22"/>
      <c r="N257" s="130">
        <v>3</v>
      </c>
      <c r="O257" s="130">
        <v>1</v>
      </c>
    </row>
    <row r="258" spans="1:15" x14ac:dyDescent="0.35">
      <c r="A258" s="133" t="s">
        <v>175</v>
      </c>
      <c r="B258" s="22"/>
      <c r="C258" s="22"/>
      <c r="N258" s="130">
        <v>3</v>
      </c>
      <c r="O258" s="130">
        <v>1</v>
      </c>
    </row>
    <row r="259" spans="1:15" x14ac:dyDescent="0.35">
      <c r="A259" s="133" t="s">
        <v>175</v>
      </c>
      <c r="B259" s="22"/>
      <c r="C259" s="22"/>
      <c r="N259" s="130">
        <v>3</v>
      </c>
      <c r="O259" s="130">
        <v>1</v>
      </c>
    </row>
    <row r="260" spans="1:15" x14ac:dyDescent="0.35">
      <c r="A260" s="133" t="s">
        <v>175</v>
      </c>
      <c r="B260" s="22"/>
      <c r="C260" s="22"/>
      <c r="N260" s="130">
        <v>3</v>
      </c>
      <c r="O260" s="130">
        <v>1</v>
      </c>
    </row>
    <row r="261" spans="1:15" x14ac:dyDescent="0.35">
      <c r="A261" s="133" t="s">
        <v>175</v>
      </c>
      <c r="B261" s="22"/>
      <c r="C261" s="22"/>
      <c r="N261" s="130">
        <v>3</v>
      </c>
      <c r="O261" s="130">
        <v>1</v>
      </c>
    </row>
    <row r="262" spans="1:15" x14ac:dyDescent="0.35">
      <c r="A262" s="133" t="s">
        <v>175</v>
      </c>
      <c r="B262" s="22"/>
      <c r="C262" s="22"/>
      <c r="N262" s="130">
        <v>3</v>
      </c>
      <c r="O262" s="130">
        <v>1</v>
      </c>
    </row>
    <row r="263" spans="1:15" x14ac:dyDescent="0.35">
      <c r="A263" s="133" t="s">
        <v>175</v>
      </c>
      <c r="B263" s="22"/>
      <c r="C263" s="22"/>
      <c r="N263" s="130">
        <v>3</v>
      </c>
      <c r="O263" s="130">
        <v>1</v>
      </c>
    </row>
    <row r="264" spans="1:15" x14ac:dyDescent="0.35">
      <c r="A264" s="133" t="s">
        <v>175</v>
      </c>
      <c r="B264" s="22"/>
      <c r="C264" s="22"/>
      <c r="N264" s="130">
        <v>3</v>
      </c>
      <c r="O264" s="130">
        <v>1</v>
      </c>
    </row>
    <row r="265" spans="1:15" x14ac:dyDescent="0.35">
      <c r="A265" s="133" t="s">
        <v>175</v>
      </c>
      <c r="B265" s="22"/>
      <c r="C265" s="22"/>
      <c r="N265" s="130">
        <v>3</v>
      </c>
      <c r="O265" s="130">
        <v>1</v>
      </c>
    </row>
    <row r="266" spans="1:15" x14ac:dyDescent="0.35">
      <c r="A266" s="133" t="s">
        <v>175</v>
      </c>
      <c r="B266" s="22"/>
      <c r="C266" s="22"/>
      <c r="N266" s="130">
        <v>3</v>
      </c>
      <c r="O266" s="130">
        <v>1</v>
      </c>
    </row>
    <row r="267" spans="1:15" x14ac:dyDescent="0.35">
      <c r="A267" s="133" t="s">
        <v>175</v>
      </c>
      <c r="B267" s="22"/>
      <c r="C267" s="22"/>
      <c r="N267" s="130">
        <v>3</v>
      </c>
      <c r="O267" s="130">
        <v>1</v>
      </c>
    </row>
    <row r="268" spans="1:15" x14ac:dyDescent="0.35">
      <c r="A268" s="133" t="s">
        <v>175</v>
      </c>
      <c r="B268" s="22"/>
      <c r="C268" s="22"/>
      <c r="N268" s="130">
        <v>3</v>
      </c>
      <c r="O268" s="130">
        <v>1</v>
      </c>
    </row>
    <row r="269" spans="1:15" x14ac:dyDescent="0.35">
      <c r="A269" s="133" t="s">
        <v>175</v>
      </c>
      <c r="B269" s="22"/>
      <c r="C269" s="22"/>
      <c r="N269" s="130">
        <v>3</v>
      </c>
      <c r="O269" s="130">
        <v>1</v>
      </c>
    </row>
    <row r="270" spans="1:15" x14ac:dyDescent="0.35">
      <c r="A270" s="133" t="s">
        <v>175</v>
      </c>
      <c r="B270" s="22"/>
      <c r="C270" s="22"/>
      <c r="N270" s="130">
        <v>3</v>
      </c>
      <c r="O270" s="130">
        <v>1</v>
      </c>
    </row>
    <row r="271" spans="1:15" x14ac:dyDescent="0.35">
      <c r="A271" s="133" t="s">
        <v>175</v>
      </c>
      <c r="B271" s="22"/>
      <c r="C271" s="22"/>
      <c r="N271" s="130">
        <v>3</v>
      </c>
      <c r="O271" s="130">
        <v>1</v>
      </c>
    </row>
    <row r="272" spans="1:15" x14ac:dyDescent="0.35">
      <c r="A272" s="133" t="s">
        <v>175</v>
      </c>
      <c r="B272" s="22"/>
      <c r="C272" s="22"/>
      <c r="N272" s="130">
        <v>3</v>
      </c>
      <c r="O272" s="130">
        <v>1</v>
      </c>
    </row>
    <row r="273" spans="1:15" x14ac:dyDescent="0.35">
      <c r="A273" s="133" t="s">
        <v>175</v>
      </c>
      <c r="B273" s="22"/>
      <c r="C273" s="22"/>
      <c r="N273" s="130">
        <v>3</v>
      </c>
      <c r="O273" s="130">
        <v>1</v>
      </c>
    </row>
    <row r="274" spans="1:15" x14ac:dyDescent="0.35">
      <c r="A274" s="133" t="s">
        <v>175</v>
      </c>
      <c r="B274" s="22"/>
      <c r="C274" s="22"/>
      <c r="N274" s="130">
        <v>3</v>
      </c>
      <c r="O274" s="130">
        <v>1</v>
      </c>
    </row>
    <row r="275" spans="1:15" x14ac:dyDescent="0.35">
      <c r="A275" s="133" t="s">
        <v>175</v>
      </c>
      <c r="B275" s="22"/>
      <c r="C275" s="22"/>
      <c r="N275" s="130">
        <v>3</v>
      </c>
      <c r="O275" s="130">
        <v>1</v>
      </c>
    </row>
    <row r="276" spans="1:15" x14ac:dyDescent="0.35">
      <c r="A276" s="133" t="s">
        <v>175</v>
      </c>
      <c r="B276" s="22"/>
      <c r="C276" s="22"/>
      <c r="N276" s="130">
        <v>3</v>
      </c>
      <c r="O276" s="130">
        <v>1</v>
      </c>
    </row>
    <row r="277" spans="1:15" x14ac:dyDescent="0.35">
      <c r="A277" s="133" t="s">
        <v>175</v>
      </c>
      <c r="B277" s="22"/>
      <c r="C277" s="22"/>
      <c r="N277" s="130">
        <v>3</v>
      </c>
      <c r="O277" s="130">
        <v>1</v>
      </c>
    </row>
    <row r="278" spans="1:15" x14ac:dyDescent="0.35">
      <c r="A278" s="133" t="s">
        <v>175</v>
      </c>
      <c r="B278" s="22"/>
      <c r="C278" s="22"/>
      <c r="N278" s="130">
        <v>3</v>
      </c>
      <c r="O278" s="130">
        <v>1</v>
      </c>
    </row>
    <row r="279" spans="1:15" x14ac:dyDescent="0.35">
      <c r="A279" s="133" t="s">
        <v>175</v>
      </c>
      <c r="B279" s="22"/>
      <c r="C279" s="22"/>
      <c r="N279" s="130">
        <v>3</v>
      </c>
      <c r="O279" s="130">
        <v>1</v>
      </c>
    </row>
    <row r="280" spans="1:15" x14ac:dyDescent="0.35">
      <c r="A280" s="133" t="s">
        <v>175</v>
      </c>
      <c r="B280" s="22"/>
      <c r="C280" s="22"/>
      <c r="N280" s="130">
        <v>3</v>
      </c>
      <c r="O280" s="130">
        <v>1</v>
      </c>
    </row>
    <row r="281" spans="1:15" x14ac:dyDescent="0.35">
      <c r="A281" s="133" t="s">
        <v>175</v>
      </c>
      <c r="B281" s="22"/>
      <c r="C281" s="22"/>
      <c r="N281" s="130">
        <v>3</v>
      </c>
      <c r="O281" s="130">
        <v>1</v>
      </c>
    </row>
    <row r="282" spans="1:15" x14ac:dyDescent="0.35">
      <c r="A282" s="133" t="s">
        <v>175</v>
      </c>
      <c r="B282" s="22"/>
      <c r="C282" s="22"/>
      <c r="N282" s="130">
        <v>3</v>
      </c>
      <c r="O282" s="130">
        <v>1</v>
      </c>
    </row>
    <row r="283" spans="1:15" x14ac:dyDescent="0.35">
      <c r="A283" s="133" t="s">
        <v>175</v>
      </c>
      <c r="B283" s="22"/>
      <c r="C283" s="22"/>
      <c r="N283" s="130">
        <v>3</v>
      </c>
      <c r="O283" s="130">
        <v>1</v>
      </c>
    </row>
    <row r="284" spans="1:15" x14ac:dyDescent="0.35">
      <c r="A284" s="133" t="s">
        <v>175</v>
      </c>
      <c r="B284" s="22"/>
      <c r="C284" s="22"/>
      <c r="N284" s="130">
        <v>3</v>
      </c>
      <c r="O284" s="130">
        <v>1</v>
      </c>
    </row>
    <row r="285" spans="1:15" x14ac:dyDescent="0.35">
      <c r="A285" s="133" t="s">
        <v>175</v>
      </c>
      <c r="B285" s="22"/>
      <c r="C285" s="22"/>
      <c r="N285" s="130">
        <v>3</v>
      </c>
      <c r="O285" s="130">
        <v>1</v>
      </c>
    </row>
    <row r="286" spans="1:15" x14ac:dyDescent="0.35">
      <c r="A286" s="133" t="s">
        <v>175</v>
      </c>
      <c r="B286" s="22"/>
      <c r="C286" s="22"/>
      <c r="N286" s="130">
        <v>3</v>
      </c>
      <c r="O286" s="130">
        <v>1</v>
      </c>
    </row>
    <row r="287" spans="1:15" x14ac:dyDescent="0.35">
      <c r="A287" s="133" t="s">
        <v>175</v>
      </c>
      <c r="B287" s="22"/>
      <c r="C287" s="22"/>
      <c r="N287" s="130">
        <v>3</v>
      </c>
      <c r="O287" s="130">
        <v>1</v>
      </c>
    </row>
    <row r="288" spans="1:15" x14ac:dyDescent="0.35">
      <c r="A288" s="133" t="s">
        <v>175</v>
      </c>
      <c r="B288" s="22"/>
      <c r="C288" s="22"/>
      <c r="N288" s="130">
        <v>3</v>
      </c>
      <c r="O288" s="130">
        <v>1</v>
      </c>
    </row>
    <row r="289" spans="1:15" x14ac:dyDescent="0.35">
      <c r="A289" s="133" t="s">
        <v>175</v>
      </c>
      <c r="B289" s="22"/>
      <c r="C289" s="22"/>
      <c r="N289" s="130">
        <v>3</v>
      </c>
      <c r="O289" s="130">
        <v>1</v>
      </c>
    </row>
    <row r="290" spans="1:15" x14ac:dyDescent="0.35">
      <c r="A290" s="133" t="s">
        <v>175</v>
      </c>
      <c r="B290" s="22"/>
      <c r="C290" s="22"/>
      <c r="N290" s="130">
        <v>3</v>
      </c>
      <c r="O290" s="130">
        <v>1</v>
      </c>
    </row>
    <row r="291" spans="1:15" x14ac:dyDescent="0.35">
      <c r="A291" s="133" t="s">
        <v>175</v>
      </c>
      <c r="B291" s="22"/>
      <c r="C291" s="22"/>
      <c r="N291" s="130">
        <v>3</v>
      </c>
      <c r="O291" s="130">
        <v>1</v>
      </c>
    </row>
    <row r="292" spans="1:15" x14ac:dyDescent="0.35">
      <c r="A292" s="133" t="s">
        <v>175</v>
      </c>
      <c r="B292" s="22"/>
      <c r="C292" s="22"/>
      <c r="N292" s="130">
        <v>3</v>
      </c>
      <c r="O292" s="130">
        <v>1</v>
      </c>
    </row>
    <row r="293" spans="1:15" x14ac:dyDescent="0.35">
      <c r="A293" s="133" t="s">
        <v>175</v>
      </c>
      <c r="B293" s="22"/>
      <c r="C293" s="22"/>
      <c r="N293" s="130">
        <v>3</v>
      </c>
      <c r="O293" s="130">
        <v>1</v>
      </c>
    </row>
    <row r="294" spans="1:15" x14ac:dyDescent="0.35">
      <c r="A294" s="133" t="s">
        <v>175</v>
      </c>
      <c r="B294" s="22"/>
      <c r="C294" s="22"/>
      <c r="N294" s="130">
        <v>3</v>
      </c>
      <c r="O294" s="130">
        <v>1</v>
      </c>
    </row>
    <row r="295" spans="1:15" x14ac:dyDescent="0.35">
      <c r="A295" s="133" t="s">
        <v>175</v>
      </c>
      <c r="B295" s="22"/>
      <c r="C295" s="22"/>
      <c r="N295" s="130">
        <v>3</v>
      </c>
      <c r="O295" s="130">
        <v>1</v>
      </c>
    </row>
    <row r="296" spans="1:15" x14ac:dyDescent="0.35">
      <c r="A296" s="133" t="s">
        <v>175</v>
      </c>
      <c r="B296" s="22"/>
      <c r="C296" s="22"/>
      <c r="N296" s="130">
        <v>3</v>
      </c>
      <c r="O296" s="130">
        <v>1</v>
      </c>
    </row>
    <row r="297" spans="1:15" x14ac:dyDescent="0.35">
      <c r="A297" s="133" t="s">
        <v>175</v>
      </c>
      <c r="B297" s="22"/>
      <c r="C297" s="22"/>
      <c r="N297" s="130">
        <v>3</v>
      </c>
      <c r="O297" s="130">
        <v>1</v>
      </c>
    </row>
    <row r="298" spans="1:15" x14ac:dyDescent="0.35">
      <c r="A298" s="133" t="s">
        <v>175</v>
      </c>
      <c r="B298" s="22"/>
      <c r="C298" s="22"/>
      <c r="N298" s="130">
        <v>3</v>
      </c>
      <c r="O298" s="130">
        <v>1</v>
      </c>
    </row>
    <row r="299" spans="1:15" x14ac:dyDescent="0.35">
      <c r="A299" s="133" t="s">
        <v>175</v>
      </c>
      <c r="B299" s="22"/>
      <c r="C299" s="22"/>
      <c r="N299" s="130">
        <v>3</v>
      </c>
      <c r="O299" s="130">
        <v>1</v>
      </c>
    </row>
    <row r="300" spans="1:15" x14ac:dyDescent="0.35">
      <c r="A300" s="133" t="s">
        <v>175</v>
      </c>
      <c r="B300" s="22"/>
      <c r="C300" s="22"/>
      <c r="N300" s="130">
        <v>3</v>
      </c>
      <c r="O300" s="130">
        <v>1</v>
      </c>
    </row>
    <row r="301" spans="1:15" x14ac:dyDescent="0.35">
      <c r="A301" s="133" t="s">
        <v>175</v>
      </c>
      <c r="B301" s="22"/>
      <c r="C301" s="22"/>
      <c r="N301" s="130">
        <v>3</v>
      </c>
      <c r="O301" s="130">
        <v>1</v>
      </c>
    </row>
    <row r="302" spans="1:15" x14ac:dyDescent="0.35">
      <c r="A302" s="133" t="s">
        <v>175</v>
      </c>
      <c r="B302" s="22"/>
      <c r="C302" s="22"/>
      <c r="N302" s="130">
        <v>3</v>
      </c>
      <c r="O302" s="130">
        <v>1</v>
      </c>
    </row>
    <row r="303" spans="1:15" x14ac:dyDescent="0.35">
      <c r="A303" s="133" t="s">
        <v>175</v>
      </c>
      <c r="B303" s="22"/>
      <c r="C303" s="22"/>
      <c r="N303" s="130">
        <v>3</v>
      </c>
      <c r="O303" s="130">
        <v>1</v>
      </c>
    </row>
    <row r="304" spans="1:15" x14ac:dyDescent="0.35">
      <c r="A304" s="133" t="s">
        <v>175</v>
      </c>
      <c r="B304" s="22"/>
      <c r="C304" s="22"/>
      <c r="N304" s="130">
        <v>3</v>
      </c>
      <c r="O304" s="130">
        <v>1</v>
      </c>
    </row>
    <row r="305" spans="1:15" x14ac:dyDescent="0.35">
      <c r="A305" s="133" t="s">
        <v>175</v>
      </c>
      <c r="B305" s="22"/>
      <c r="C305" s="22"/>
      <c r="N305" s="130">
        <v>3</v>
      </c>
      <c r="O305" s="130">
        <v>1</v>
      </c>
    </row>
    <row r="306" spans="1:15" x14ac:dyDescent="0.35">
      <c r="A306" s="133" t="s">
        <v>175</v>
      </c>
      <c r="B306" s="22"/>
      <c r="C306" s="22"/>
      <c r="N306" s="130">
        <v>3</v>
      </c>
      <c r="O306" s="130">
        <v>1</v>
      </c>
    </row>
    <row r="307" spans="1:15" x14ac:dyDescent="0.35">
      <c r="A307" s="133" t="s">
        <v>175</v>
      </c>
      <c r="B307" s="22"/>
      <c r="C307" s="22"/>
      <c r="N307" s="130">
        <v>3</v>
      </c>
      <c r="O307" s="130">
        <v>1</v>
      </c>
    </row>
    <row r="308" spans="1:15" x14ac:dyDescent="0.35">
      <c r="A308" s="133" t="s">
        <v>175</v>
      </c>
      <c r="B308" s="22"/>
      <c r="C308" s="22"/>
      <c r="N308" s="130">
        <v>3</v>
      </c>
      <c r="O308" s="130">
        <v>1</v>
      </c>
    </row>
    <row r="309" spans="1:15" x14ac:dyDescent="0.35">
      <c r="A309" s="133" t="s">
        <v>175</v>
      </c>
      <c r="B309" s="22"/>
      <c r="C309" s="22"/>
      <c r="N309" s="130">
        <v>3</v>
      </c>
      <c r="O309" s="130">
        <v>1</v>
      </c>
    </row>
    <row r="310" spans="1:15" x14ac:dyDescent="0.35">
      <c r="A310" s="133" t="s">
        <v>175</v>
      </c>
      <c r="B310" s="22"/>
      <c r="C310" s="22"/>
      <c r="N310" s="130">
        <v>3</v>
      </c>
      <c r="O310" s="130">
        <v>1</v>
      </c>
    </row>
    <row r="311" spans="1:15" x14ac:dyDescent="0.35">
      <c r="A311" s="133" t="s">
        <v>175</v>
      </c>
      <c r="B311" s="22"/>
      <c r="C311" s="22"/>
      <c r="N311" s="130">
        <v>3</v>
      </c>
      <c r="O311" s="130">
        <v>1</v>
      </c>
    </row>
    <row r="312" spans="1:15" x14ac:dyDescent="0.35">
      <c r="A312" s="133" t="s">
        <v>175</v>
      </c>
      <c r="B312" s="22"/>
      <c r="C312" s="22"/>
      <c r="N312" s="130">
        <v>3</v>
      </c>
      <c r="O312" s="130">
        <v>1</v>
      </c>
    </row>
    <row r="313" spans="1:15" x14ac:dyDescent="0.35">
      <c r="A313" s="133" t="s">
        <v>175</v>
      </c>
      <c r="B313" s="22"/>
      <c r="C313" s="22"/>
      <c r="N313" s="130">
        <v>3</v>
      </c>
      <c r="O313" s="130">
        <v>1</v>
      </c>
    </row>
    <row r="314" spans="1:15" x14ac:dyDescent="0.35">
      <c r="A314" s="133" t="s">
        <v>175</v>
      </c>
      <c r="B314" s="22"/>
      <c r="C314" s="22"/>
      <c r="N314" s="130">
        <v>3</v>
      </c>
      <c r="O314" s="130">
        <v>1</v>
      </c>
    </row>
    <row r="315" spans="1:15" x14ac:dyDescent="0.35">
      <c r="A315" s="133" t="s">
        <v>175</v>
      </c>
      <c r="B315" s="22"/>
      <c r="C315" s="22"/>
      <c r="N315" s="130">
        <v>3</v>
      </c>
      <c r="O315" s="130">
        <v>1</v>
      </c>
    </row>
    <row r="316" spans="1:15" x14ac:dyDescent="0.35">
      <c r="A316" s="133" t="s">
        <v>175</v>
      </c>
      <c r="B316" s="22"/>
      <c r="C316" s="22"/>
      <c r="N316" s="130">
        <v>3</v>
      </c>
      <c r="O316" s="130">
        <v>1</v>
      </c>
    </row>
    <row r="317" spans="1:15" x14ac:dyDescent="0.35">
      <c r="A317" s="133" t="s">
        <v>175</v>
      </c>
      <c r="B317" s="22"/>
      <c r="C317" s="22"/>
      <c r="N317" s="130">
        <v>3</v>
      </c>
      <c r="O317" s="130">
        <v>1</v>
      </c>
    </row>
    <row r="318" spans="1:15" x14ac:dyDescent="0.35">
      <c r="A318" s="133" t="s">
        <v>175</v>
      </c>
      <c r="B318" s="22"/>
      <c r="C318" s="22"/>
      <c r="N318" s="130">
        <v>3</v>
      </c>
      <c r="O318" s="130">
        <v>1</v>
      </c>
    </row>
    <row r="319" spans="1:15" x14ac:dyDescent="0.35">
      <c r="A319" s="133" t="s">
        <v>175</v>
      </c>
      <c r="B319" s="22"/>
      <c r="C319" s="22"/>
      <c r="N319" s="130">
        <v>3</v>
      </c>
      <c r="O319" s="130">
        <v>1</v>
      </c>
    </row>
    <row r="320" spans="1:15" x14ac:dyDescent="0.35">
      <c r="A320" s="133" t="s">
        <v>175</v>
      </c>
      <c r="B320" s="22"/>
      <c r="C320" s="22"/>
      <c r="N320" s="130">
        <v>3</v>
      </c>
      <c r="O320" s="130">
        <v>1</v>
      </c>
    </row>
    <row r="321" spans="1:15" x14ac:dyDescent="0.35">
      <c r="A321" s="133" t="s">
        <v>175</v>
      </c>
      <c r="B321" s="22"/>
      <c r="C321" s="22"/>
      <c r="N321" s="130">
        <v>3</v>
      </c>
      <c r="O321" s="130">
        <v>1</v>
      </c>
    </row>
    <row r="322" spans="1:15" x14ac:dyDescent="0.35">
      <c r="A322" s="133" t="s">
        <v>175</v>
      </c>
      <c r="B322" s="22"/>
      <c r="C322" s="22"/>
      <c r="N322" s="130">
        <v>3</v>
      </c>
      <c r="O322" s="130">
        <v>1</v>
      </c>
    </row>
    <row r="323" spans="1:15" x14ac:dyDescent="0.35">
      <c r="A323" s="133" t="s">
        <v>175</v>
      </c>
      <c r="B323" s="22"/>
      <c r="C323" s="22"/>
      <c r="N323" s="130">
        <v>3</v>
      </c>
      <c r="O323" s="130">
        <v>1</v>
      </c>
    </row>
    <row r="324" spans="1:15" x14ac:dyDescent="0.35">
      <c r="A324" s="133" t="s">
        <v>175</v>
      </c>
      <c r="B324" s="22"/>
      <c r="C324" s="22"/>
      <c r="N324" s="130">
        <v>3</v>
      </c>
      <c r="O324" s="130">
        <v>1</v>
      </c>
    </row>
    <row r="325" spans="1:15" x14ac:dyDescent="0.35">
      <c r="A325" s="133" t="s">
        <v>175</v>
      </c>
      <c r="B325" s="22"/>
      <c r="C325" s="22"/>
      <c r="N325" s="130">
        <v>3</v>
      </c>
      <c r="O325" s="130">
        <v>1</v>
      </c>
    </row>
    <row r="326" spans="1:15" x14ac:dyDescent="0.35">
      <c r="A326" s="133" t="s">
        <v>175</v>
      </c>
      <c r="B326" s="22"/>
      <c r="C326" s="22"/>
      <c r="N326" s="130">
        <v>3</v>
      </c>
      <c r="O326" s="130">
        <v>1</v>
      </c>
    </row>
    <row r="327" spans="1:15" x14ac:dyDescent="0.35">
      <c r="A327" s="133" t="s">
        <v>175</v>
      </c>
      <c r="B327" s="22"/>
      <c r="C327" s="22"/>
      <c r="N327" s="130">
        <v>3</v>
      </c>
      <c r="O327" s="130">
        <v>1</v>
      </c>
    </row>
    <row r="328" spans="1:15" x14ac:dyDescent="0.35">
      <c r="A328" s="133" t="s">
        <v>175</v>
      </c>
      <c r="B328" s="22"/>
      <c r="C328" s="22"/>
      <c r="N328" s="130">
        <v>3</v>
      </c>
      <c r="O328" s="130">
        <v>1</v>
      </c>
    </row>
    <row r="329" spans="1:15" x14ac:dyDescent="0.35">
      <c r="A329" s="133" t="s">
        <v>175</v>
      </c>
      <c r="B329" s="22"/>
      <c r="C329" s="22"/>
      <c r="N329" s="130">
        <v>3</v>
      </c>
      <c r="O329" s="130">
        <v>1</v>
      </c>
    </row>
    <row r="330" spans="1:15" x14ac:dyDescent="0.35">
      <c r="A330" s="133" t="s">
        <v>175</v>
      </c>
      <c r="B330" s="22"/>
      <c r="C330" s="22"/>
      <c r="N330" s="130">
        <v>3</v>
      </c>
      <c r="O330" s="130">
        <v>1</v>
      </c>
    </row>
    <row r="331" spans="1:15" x14ac:dyDescent="0.35">
      <c r="A331" s="133" t="s">
        <v>175</v>
      </c>
      <c r="B331" s="22"/>
      <c r="C331" s="22"/>
      <c r="N331" s="130">
        <v>3</v>
      </c>
      <c r="O331" s="130">
        <v>1</v>
      </c>
    </row>
    <row r="332" spans="1:15" x14ac:dyDescent="0.35">
      <c r="A332" s="133" t="s">
        <v>175</v>
      </c>
      <c r="B332" s="22"/>
      <c r="C332" s="22"/>
      <c r="N332" s="130">
        <v>3</v>
      </c>
      <c r="O332" s="130">
        <v>1</v>
      </c>
    </row>
    <row r="333" spans="1:15" x14ac:dyDescent="0.35">
      <c r="A333" s="133" t="s">
        <v>175</v>
      </c>
      <c r="B333" s="22"/>
      <c r="C333" s="22"/>
      <c r="N333" s="130">
        <v>3</v>
      </c>
      <c r="O333" s="130">
        <v>1</v>
      </c>
    </row>
    <row r="334" spans="1:15" x14ac:dyDescent="0.35">
      <c r="A334" s="133" t="s">
        <v>175</v>
      </c>
      <c r="B334" s="22"/>
      <c r="C334" s="22"/>
      <c r="N334" s="130">
        <v>3</v>
      </c>
      <c r="O334" s="130">
        <v>1</v>
      </c>
    </row>
    <row r="335" spans="1:15" x14ac:dyDescent="0.35">
      <c r="A335" s="133" t="s">
        <v>175</v>
      </c>
      <c r="B335" s="22"/>
      <c r="C335" s="22"/>
      <c r="N335" s="130">
        <v>3</v>
      </c>
      <c r="O335" s="130">
        <v>1</v>
      </c>
    </row>
    <row r="336" spans="1:15" x14ac:dyDescent="0.35">
      <c r="A336" s="133" t="s">
        <v>175</v>
      </c>
      <c r="B336" s="22"/>
      <c r="C336" s="22"/>
      <c r="N336" s="130">
        <v>3</v>
      </c>
      <c r="O336" s="130">
        <v>1</v>
      </c>
    </row>
    <row r="337" spans="1:15" x14ac:dyDescent="0.35">
      <c r="A337" s="133" t="s">
        <v>175</v>
      </c>
      <c r="B337" s="22"/>
      <c r="C337" s="22"/>
      <c r="N337" s="130">
        <v>3</v>
      </c>
      <c r="O337" s="130">
        <v>1</v>
      </c>
    </row>
    <row r="338" spans="1:15" x14ac:dyDescent="0.35">
      <c r="A338" s="133" t="s">
        <v>175</v>
      </c>
      <c r="B338" s="22"/>
      <c r="C338" s="22"/>
      <c r="N338" s="130">
        <v>3</v>
      </c>
      <c r="O338" s="130">
        <v>1</v>
      </c>
    </row>
    <row r="339" spans="1:15" x14ac:dyDescent="0.35">
      <c r="A339" s="133" t="s">
        <v>175</v>
      </c>
      <c r="B339" s="22"/>
      <c r="C339" s="22"/>
      <c r="N339" s="130">
        <v>3</v>
      </c>
      <c r="O339" s="130">
        <v>1</v>
      </c>
    </row>
    <row r="340" spans="1:15" x14ac:dyDescent="0.35">
      <c r="A340" s="133" t="s">
        <v>175</v>
      </c>
      <c r="B340" s="22"/>
      <c r="C340" s="22"/>
      <c r="N340" s="130">
        <v>3</v>
      </c>
      <c r="O340" s="130">
        <v>1</v>
      </c>
    </row>
    <row r="341" spans="1:15" x14ac:dyDescent="0.35">
      <c r="A341" s="133" t="s">
        <v>175</v>
      </c>
      <c r="B341" s="22"/>
      <c r="C341" s="22"/>
      <c r="N341" s="130">
        <v>3</v>
      </c>
      <c r="O341" s="130">
        <v>1</v>
      </c>
    </row>
    <row r="342" spans="1:15" x14ac:dyDescent="0.35">
      <c r="A342" s="133" t="s">
        <v>175</v>
      </c>
      <c r="B342" s="22"/>
      <c r="C342" s="22"/>
      <c r="N342" s="130">
        <v>3</v>
      </c>
      <c r="O342" s="130">
        <v>1</v>
      </c>
    </row>
    <row r="343" spans="1:15" x14ac:dyDescent="0.35">
      <c r="A343" s="133" t="s">
        <v>175</v>
      </c>
      <c r="B343" s="22"/>
      <c r="C343" s="22"/>
      <c r="N343" s="130">
        <v>3</v>
      </c>
      <c r="O343" s="130">
        <v>1</v>
      </c>
    </row>
    <row r="344" spans="1:15" x14ac:dyDescent="0.35">
      <c r="A344" s="133" t="s">
        <v>175</v>
      </c>
      <c r="B344" s="22"/>
      <c r="C344" s="22"/>
      <c r="N344" s="130">
        <v>3</v>
      </c>
      <c r="O344" s="130">
        <v>1</v>
      </c>
    </row>
    <row r="345" spans="1:15" x14ac:dyDescent="0.35">
      <c r="A345" s="133" t="s">
        <v>175</v>
      </c>
      <c r="B345" s="22"/>
      <c r="C345" s="22"/>
      <c r="N345" s="130">
        <v>3</v>
      </c>
      <c r="O345" s="130">
        <v>1</v>
      </c>
    </row>
    <row r="346" spans="1:15" x14ac:dyDescent="0.35">
      <c r="A346" s="133" t="s">
        <v>175</v>
      </c>
      <c r="B346" s="22"/>
      <c r="C346" s="22"/>
      <c r="N346" s="130">
        <v>3</v>
      </c>
      <c r="O346" s="130">
        <v>1</v>
      </c>
    </row>
    <row r="347" spans="1:15" x14ac:dyDescent="0.35">
      <c r="A347" s="133" t="s">
        <v>175</v>
      </c>
      <c r="B347" s="22"/>
      <c r="C347" s="22"/>
      <c r="N347" s="130">
        <v>3</v>
      </c>
      <c r="O347" s="130">
        <v>1</v>
      </c>
    </row>
    <row r="348" spans="1:15" x14ac:dyDescent="0.35">
      <c r="A348" s="133" t="s">
        <v>175</v>
      </c>
      <c r="B348" s="22"/>
      <c r="C348" s="22"/>
      <c r="N348" s="130">
        <v>3</v>
      </c>
      <c r="O348" s="130">
        <v>1</v>
      </c>
    </row>
    <row r="349" spans="1:15" x14ac:dyDescent="0.35">
      <c r="A349" s="133" t="s">
        <v>175</v>
      </c>
      <c r="B349" s="22"/>
      <c r="C349" s="22"/>
      <c r="N349" s="130">
        <v>3</v>
      </c>
      <c r="O349" s="130">
        <v>1</v>
      </c>
    </row>
    <row r="350" spans="1:15" x14ac:dyDescent="0.35">
      <c r="A350" s="133" t="s">
        <v>175</v>
      </c>
      <c r="B350" s="22"/>
      <c r="C350" s="22"/>
      <c r="N350" s="130">
        <v>3</v>
      </c>
      <c r="O350" s="130">
        <v>1</v>
      </c>
    </row>
    <row r="351" spans="1:15" x14ac:dyDescent="0.35">
      <c r="A351" s="133" t="s">
        <v>175</v>
      </c>
      <c r="B351" s="22"/>
      <c r="C351" s="22"/>
      <c r="N351" s="130">
        <v>3</v>
      </c>
      <c r="O351" s="130">
        <v>1</v>
      </c>
    </row>
    <row r="352" spans="1:15" x14ac:dyDescent="0.35">
      <c r="A352" s="133" t="s">
        <v>175</v>
      </c>
      <c r="B352" s="22"/>
      <c r="C352" s="22"/>
      <c r="N352" s="130">
        <v>3</v>
      </c>
      <c r="O352" s="130">
        <v>1</v>
      </c>
    </row>
    <row r="353" spans="1:15" x14ac:dyDescent="0.35">
      <c r="A353" s="133" t="s">
        <v>175</v>
      </c>
      <c r="B353" s="22"/>
      <c r="C353" s="22"/>
      <c r="N353" s="130">
        <v>3</v>
      </c>
      <c r="O353" s="130">
        <v>1</v>
      </c>
    </row>
    <row r="354" spans="1:15" x14ac:dyDescent="0.35">
      <c r="A354" s="133" t="s">
        <v>175</v>
      </c>
      <c r="B354" s="22"/>
      <c r="C354" s="22"/>
      <c r="N354" s="130">
        <v>3</v>
      </c>
      <c r="O354" s="130">
        <v>1</v>
      </c>
    </row>
    <row r="355" spans="1:15" x14ac:dyDescent="0.35">
      <c r="A355" s="133" t="s">
        <v>175</v>
      </c>
      <c r="B355" s="22"/>
      <c r="C355" s="22"/>
      <c r="N355" s="130">
        <v>3</v>
      </c>
      <c r="O355" s="130">
        <v>1</v>
      </c>
    </row>
    <row r="356" spans="1:15" x14ac:dyDescent="0.35">
      <c r="A356" s="133" t="s">
        <v>175</v>
      </c>
      <c r="B356" s="22"/>
      <c r="C356" s="22"/>
      <c r="N356" s="130">
        <v>3</v>
      </c>
      <c r="O356" s="130">
        <v>1</v>
      </c>
    </row>
    <row r="357" spans="1:15" x14ac:dyDescent="0.35">
      <c r="A357" s="133" t="s">
        <v>175</v>
      </c>
      <c r="B357" s="22"/>
      <c r="C357" s="22"/>
      <c r="N357" s="130">
        <v>3</v>
      </c>
      <c r="O357" s="130">
        <v>1</v>
      </c>
    </row>
    <row r="358" spans="1:15" x14ac:dyDescent="0.35">
      <c r="A358" s="133" t="s">
        <v>175</v>
      </c>
      <c r="B358" s="22"/>
      <c r="C358" s="22"/>
      <c r="N358" s="130">
        <v>3</v>
      </c>
      <c r="O358" s="130">
        <v>1</v>
      </c>
    </row>
    <row r="359" spans="1:15" x14ac:dyDescent="0.35">
      <c r="A359" s="133" t="s">
        <v>175</v>
      </c>
      <c r="B359" s="22"/>
      <c r="C359" s="22"/>
      <c r="N359" s="130">
        <v>3</v>
      </c>
      <c r="O359" s="130">
        <v>1</v>
      </c>
    </row>
    <row r="360" spans="1:15" x14ac:dyDescent="0.35">
      <c r="A360" s="133" t="s">
        <v>175</v>
      </c>
      <c r="B360" s="22"/>
      <c r="C360" s="22"/>
      <c r="N360" s="130">
        <v>3</v>
      </c>
      <c r="O360" s="130">
        <v>1</v>
      </c>
    </row>
    <row r="361" spans="1:15" x14ac:dyDescent="0.35">
      <c r="A361" s="133" t="s">
        <v>175</v>
      </c>
      <c r="B361" s="22"/>
      <c r="C361" s="22"/>
      <c r="N361" s="130">
        <v>3</v>
      </c>
      <c r="O361" s="130">
        <v>1</v>
      </c>
    </row>
    <row r="362" spans="1:15" x14ac:dyDescent="0.35">
      <c r="A362" s="133" t="s">
        <v>175</v>
      </c>
      <c r="B362" s="22"/>
      <c r="C362" s="22"/>
      <c r="N362" s="130">
        <v>3</v>
      </c>
      <c r="O362" s="130">
        <v>1</v>
      </c>
    </row>
    <row r="363" spans="1:15" x14ac:dyDescent="0.35">
      <c r="A363" s="133" t="s">
        <v>175</v>
      </c>
      <c r="B363" s="22"/>
      <c r="C363" s="22"/>
      <c r="N363" s="130">
        <v>3</v>
      </c>
      <c r="O363" s="130">
        <v>1</v>
      </c>
    </row>
    <row r="364" spans="1:15" x14ac:dyDescent="0.35">
      <c r="A364" s="133" t="s">
        <v>175</v>
      </c>
      <c r="B364" s="22"/>
      <c r="C364" s="22"/>
      <c r="N364" s="130">
        <v>3</v>
      </c>
      <c r="O364" s="130">
        <v>1</v>
      </c>
    </row>
    <row r="365" spans="1:15" x14ac:dyDescent="0.35">
      <c r="A365" s="133" t="s">
        <v>175</v>
      </c>
      <c r="B365" s="22"/>
      <c r="C365" s="22"/>
      <c r="N365" s="130">
        <v>3</v>
      </c>
      <c r="O365" s="130">
        <v>1</v>
      </c>
    </row>
    <row r="366" spans="1:15" x14ac:dyDescent="0.35">
      <c r="A366" s="133" t="s">
        <v>175</v>
      </c>
      <c r="B366" s="22"/>
      <c r="C366" s="22"/>
      <c r="N366" s="130">
        <v>3</v>
      </c>
      <c r="O366" s="130">
        <v>1</v>
      </c>
    </row>
    <row r="367" spans="1:15" x14ac:dyDescent="0.35">
      <c r="A367" s="133" t="s">
        <v>175</v>
      </c>
      <c r="B367" s="22"/>
      <c r="C367" s="22"/>
      <c r="N367" s="130">
        <v>3</v>
      </c>
      <c r="O367" s="130">
        <v>1</v>
      </c>
    </row>
    <row r="368" spans="1:15" x14ac:dyDescent="0.35">
      <c r="A368" s="133" t="s">
        <v>175</v>
      </c>
      <c r="B368" s="22"/>
      <c r="C368" s="22"/>
      <c r="N368" s="130">
        <v>3</v>
      </c>
      <c r="O368" s="130">
        <v>1</v>
      </c>
    </row>
    <row r="369" spans="1:15" x14ac:dyDescent="0.35">
      <c r="A369" s="133" t="s">
        <v>175</v>
      </c>
      <c r="B369" s="22"/>
      <c r="C369" s="22"/>
      <c r="N369" s="130">
        <v>3</v>
      </c>
      <c r="O369" s="130">
        <v>1</v>
      </c>
    </row>
    <row r="370" spans="1:15" x14ac:dyDescent="0.35">
      <c r="A370" s="133" t="s">
        <v>175</v>
      </c>
      <c r="B370" s="22"/>
      <c r="C370" s="22"/>
      <c r="N370" s="130">
        <v>3</v>
      </c>
      <c r="O370" s="130">
        <v>1</v>
      </c>
    </row>
    <row r="371" spans="1:15" x14ac:dyDescent="0.35">
      <c r="A371" s="133" t="s">
        <v>175</v>
      </c>
      <c r="B371" s="22"/>
      <c r="C371" s="22"/>
      <c r="N371" s="130">
        <v>3</v>
      </c>
      <c r="O371" s="130">
        <v>1</v>
      </c>
    </row>
    <row r="372" spans="1:15" x14ac:dyDescent="0.35">
      <c r="A372" s="133" t="s">
        <v>175</v>
      </c>
      <c r="B372" s="22"/>
      <c r="C372" s="22"/>
      <c r="N372" s="130">
        <v>3</v>
      </c>
      <c r="O372" s="130">
        <v>1</v>
      </c>
    </row>
    <row r="373" spans="1:15" x14ac:dyDescent="0.35">
      <c r="A373" s="133" t="s">
        <v>175</v>
      </c>
      <c r="B373" s="22"/>
      <c r="C373" s="22"/>
      <c r="N373" s="130">
        <v>3</v>
      </c>
      <c r="O373" s="130">
        <v>1</v>
      </c>
    </row>
    <row r="374" spans="1:15" x14ac:dyDescent="0.35">
      <c r="A374" s="133" t="s">
        <v>175</v>
      </c>
      <c r="B374" s="22"/>
      <c r="C374" s="22"/>
      <c r="N374" s="130">
        <v>3</v>
      </c>
      <c r="O374" s="130">
        <v>1</v>
      </c>
    </row>
    <row r="375" spans="1:15" x14ac:dyDescent="0.35">
      <c r="A375" s="133" t="s">
        <v>175</v>
      </c>
      <c r="B375" s="22"/>
      <c r="C375" s="22"/>
      <c r="N375" s="130">
        <v>3</v>
      </c>
      <c r="O375" s="130">
        <v>1</v>
      </c>
    </row>
    <row r="376" spans="1:15" x14ac:dyDescent="0.35">
      <c r="A376" s="133" t="s">
        <v>175</v>
      </c>
      <c r="B376" s="22"/>
      <c r="C376" s="22"/>
      <c r="N376" s="130">
        <v>3</v>
      </c>
      <c r="O376" s="130">
        <v>1</v>
      </c>
    </row>
    <row r="377" spans="1:15" x14ac:dyDescent="0.35">
      <c r="A377" s="133" t="s">
        <v>175</v>
      </c>
      <c r="B377" s="22"/>
      <c r="C377" s="22"/>
      <c r="N377" s="130">
        <v>3</v>
      </c>
      <c r="O377" s="130">
        <v>1</v>
      </c>
    </row>
    <row r="378" spans="1:15" x14ac:dyDescent="0.35">
      <c r="A378" s="133" t="s">
        <v>175</v>
      </c>
      <c r="B378" s="22"/>
      <c r="C378" s="22"/>
      <c r="N378" s="130">
        <v>3</v>
      </c>
      <c r="O378" s="130">
        <v>1</v>
      </c>
    </row>
    <row r="379" spans="1:15" x14ac:dyDescent="0.35">
      <c r="A379" s="133" t="s">
        <v>175</v>
      </c>
      <c r="B379" s="22"/>
      <c r="C379" s="22"/>
      <c r="N379" s="130">
        <v>3</v>
      </c>
      <c r="O379" s="130">
        <v>1</v>
      </c>
    </row>
    <row r="380" spans="1:15" x14ac:dyDescent="0.35">
      <c r="A380" s="133" t="s">
        <v>175</v>
      </c>
      <c r="B380" s="22"/>
      <c r="C380" s="22"/>
      <c r="N380" s="130">
        <v>3</v>
      </c>
      <c r="O380" s="130">
        <v>1</v>
      </c>
    </row>
    <row r="381" spans="1:15" x14ac:dyDescent="0.35">
      <c r="A381" s="133" t="s">
        <v>175</v>
      </c>
      <c r="B381" s="22"/>
      <c r="C381" s="22"/>
      <c r="N381" s="130">
        <v>3</v>
      </c>
      <c r="O381" s="130">
        <v>1</v>
      </c>
    </row>
    <row r="382" spans="1:15" x14ac:dyDescent="0.35">
      <c r="A382" s="133" t="s">
        <v>175</v>
      </c>
      <c r="B382" s="22"/>
      <c r="C382" s="22"/>
      <c r="N382" s="130">
        <v>3</v>
      </c>
      <c r="O382" s="130">
        <v>1</v>
      </c>
    </row>
    <row r="383" spans="1:15" x14ac:dyDescent="0.35">
      <c r="A383" s="133" t="s">
        <v>175</v>
      </c>
      <c r="B383" s="22"/>
      <c r="C383" s="22"/>
      <c r="N383" s="130">
        <v>3</v>
      </c>
      <c r="O383" s="130">
        <v>1</v>
      </c>
    </row>
    <row r="384" spans="1:15" x14ac:dyDescent="0.35">
      <c r="A384" s="133" t="s">
        <v>175</v>
      </c>
      <c r="B384" s="22"/>
      <c r="C384" s="22"/>
      <c r="N384" s="130">
        <v>3</v>
      </c>
      <c r="O384" s="130">
        <v>1</v>
      </c>
    </row>
    <row r="385" spans="1:15" x14ac:dyDescent="0.35">
      <c r="A385" s="133" t="s">
        <v>175</v>
      </c>
      <c r="B385" s="22"/>
      <c r="C385" s="22"/>
      <c r="N385" s="130">
        <v>3</v>
      </c>
      <c r="O385" s="130">
        <v>1</v>
      </c>
    </row>
    <row r="386" spans="1:15" x14ac:dyDescent="0.35">
      <c r="A386" s="133" t="s">
        <v>175</v>
      </c>
      <c r="B386" s="22"/>
      <c r="C386" s="22"/>
      <c r="N386" s="130">
        <v>3</v>
      </c>
      <c r="O386" s="130">
        <v>1</v>
      </c>
    </row>
    <row r="387" spans="1:15" x14ac:dyDescent="0.35">
      <c r="A387" s="133" t="s">
        <v>175</v>
      </c>
      <c r="B387" s="22"/>
      <c r="C387" s="22"/>
      <c r="N387" s="130">
        <v>3</v>
      </c>
      <c r="O387" s="130">
        <v>1</v>
      </c>
    </row>
    <row r="388" spans="1:15" x14ac:dyDescent="0.35">
      <c r="A388" s="133" t="s">
        <v>175</v>
      </c>
      <c r="B388" s="22"/>
      <c r="C388" s="22"/>
      <c r="N388" s="130">
        <v>3</v>
      </c>
      <c r="O388" s="130">
        <v>1</v>
      </c>
    </row>
    <row r="389" spans="1:15" x14ac:dyDescent="0.35">
      <c r="A389" s="133" t="s">
        <v>175</v>
      </c>
      <c r="B389" s="22"/>
      <c r="C389" s="22"/>
      <c r="N389" s="130">
        <v>3</v>
      </c>
      <c r="O389" s="130">
        <v>1</v>
      </c>
    </row>
    <row r="390" spans="1:15" x14ac:dyDescent="0.35">
      <c r="A390" s="133" t="s">
        <v>175</v>
      </c>
      <c r="B390" s="22"/>
      <c r="C390" s="22"/>
      <c r="N390" s="130">
        <v>3</v>
      </c>
      <c r="O390" s="130">
        <v>1</v>
      </c>
    </row>
    <row r="391" spans="1:15" x14ac:dyDescent="0.35">
      <c r="A391" s="133" t="s">
        <v>175</v>
      </c>
      <c r="B391" s="22"/>
      <c r="C391" s="22"/>
      <c r="N391" s="130">
        <v>3</v>
      </c>
      <c r="O391" s="130">
        <v>1</v>
      </c>
    </row>
    <row r="392" spans="1:15" x14ac:dyDescent="0.35">
      <c r="A392" s="133" t="s">
        <v>175</v>
      </c>
      <c r="B392" s="22"/>
      <c r="C392" s="22"/>
      <c r="N392" s="130">
        <v>3</v>
      </c>
      <c r="O392" s="130">
        <v>1</v>
      </c>
    </row>
    <row r="393" spans="1:15" x14ac:dyDescent="0.35">
      <c r="A393" s="133" t="s">
        <v>175</v>
      </c>
      <c r="B393" s="22"/>
      <c r="C393" s="22"/>
      <c r="N393" s="130">
        <v>3</v>
      </c>
      <c r="O393" s="130">
        <v>1</v>
      </c>
    </row>
    <row r="394" spans="1:15" x14ac:dyDescent="0.35">
      <c r="A394" s="133" t="s">
        <v>175</v>
      </c>
      <c r="B394" s="22"/>
      <c r="C394" s="22"/>
      <c r="N394" s="130">
        <v>3</v>
      </c>
      <c r="O394" s="130">
        <v>1</v>
      </c>
    </row>
    <row r="395" spans="1:15" x14ac:dyDescent="0.35">
      <c r="A395" s="133" t="s">
        <v>175</v>
      </c>
      <c r="B395" s="22"/>
      <c r="C395" s="22"/>
      <c r="N395" s="130">
        <v>3</v>
      </c>
      <c r="O395" s="130">
        <v>1</v>
      </c>
    </row>
    <row r="396" spans="1:15" x14ac:dyDescent="0.35">
      <c r="A396" s="133" t="s">
        <v>175</v>
      </c>
      <c r="B396" s="22"/>
      <c r="C396" s="22"/>
      <c r="N396" s="130">
        <v>3</v>
      </c>
      <c r="O396" s="130">
        <v>1</v>
      </c>
    </row>
    <row r="397" spans="1:15" x14ac:dyDescent="0.35">
      <c r="A397" s="133" t="s">
        <v>175</v>
      </c>
      <c r="B397" s="22"/>
      <c r="C397" s="22"/>
      <c r="N397" s="130">
        <v>3</v>
      </c>
      <c r="O397" s="130">
        <v>1</v>
      </c>
    </row>
    <row r="398" spans="1:15" x14ac:dyDescent="0.35">
      <c r="A398" s="133" t="s">
        <v>175</v>
      </c>
      <c r="B398" s="22"/>
      <c r="C398" s="22"/>
      <c r="N398" s="130">
        <v>3</v>
      </c>
      <c r="O398" s="130">
        <v>1</v>
      </c>
    </row>
    <row r="399" spans="1:15" x14ac:dyDescent="0.35">
      <c r="A399" s="133" t="s">
        <v>175</v>
      </c>
      <c r="B399" s="22"/>
      <c r="C399" s="22"/>
      <c r="N399" s="130">
        <v>3</v>
      </c>
      <c r="O399" s="130">
        <v>1</v>
      </c>
    </row>
    <row r="400" spans="1:15" x14ac:dyDescent="0.35">
      <c r="A400" s="133" t="s">
        <v>175</v>
      </c>
      <c r="B400" s="22"/>
      <c r="C400" s="22"/>
      <c r="N400" s="130">
        <v>3</v>
      </c>
      <c r="O400" s="130">
        <v>1</v>
      </c>
    </row>
    <row r="401" spans="1:15" x14ac:dyDescent="0.35">
      <c r="A401" s="133" t="s">
        <v>175</v>
      </c>
      <c r="B401" s="22"/>
      <c r="C401" s="22"/>
      <c r="N401" s="130">
        <v>3</v>
      </c>
      <c r="O401" s="130">
        <v>1</v>
      </c>
    </row>
    <row r="402" spans="1:15" x14ac:dyDescent="0.35">
      <c r="A402" s="133" t="s">
        <v>175</v>
      </c>
      <c r="B402" s="22"/>
      <c r="C402" s="22"/>
      <c r="N402" s="130">
        <v>3</v>
      </c>
      <c r="O402" s="130">
        <v>1</v>
      </c>
    </row>
    <row r="403" spans="1:15" x14ac:dyDescent="0.35">
      <c r="A403" s="133" t="s">
        <v>175</v>
      </c>
      <c r="B403" s="22"/>
      <c r="C403" s="22"/>
      <c r="N403" s="130">
        <v>3</v>
      </c>
      <c r="O403" s="130">
        <v>1</v>
      </c>
    </row>
    <row r="404" spans="1:15" x14ac:dyDescent="0.35">
      <c r="A404" s="133" t="s">
        <v>175</v>
      </c>
      <c r="B404" s="22"/>
      <c r="C404" s="22"/>
      <c r="N404" s="130">
        <v>3</v>
      </c>
      <c r="O404" s="130">
        <v>1</v>
      </c>
    </row>
    <row r="405" spans="1:15" x14ac:dyDescent="0.35">
      <c r="A405" s="133" t="s">
        <v>175</v>
      </c>
      <c r="B405" s="22"/>
      <c r="C405" s="22"/>
      <c r="N405" s="130">
        <v>3</v>
      </c>
      <c r="O405" s="130">
        <v>1</v>
      </c>
    </row>
    <row r="406" spans="1:15" x14ac:dyDescent="0.35">
      <c r="A406" s="133" t="s">
        <v>175</v>
      </c>
      <c r="B406" s="22"/>
      <c r="C406" s="22"/>
      <c r="N406" s="130">
        <v>3</v>
      </c>
      <c r="O406" s="130">
        <v>1</v>
      </c>
    </row>
    <row r="407" spans="1:15" x14ac:dyDescent="0.35">
      <c r="A407" s="133" t="s">
        <v>175</v>
      </c>
      <c r="B407" s="22"/>
      <c r="C407" s="22"/>
      <c r="N407" s="130">
        <v>3</v>
      </c>
      <c r="O407" s="130">
        <v>1</v>
      </c>
    </row>
    <row r="408" spans="1:15" x14ac:dyDescent="0.35">
      <c r="A408" s="133" t="s">
        <v>175</v>
      </c>
      <c r="B408" s="22"/>
      <c r="C408" s="22"/>
      <c r="N408" s="130">
        <v>3</v>
      </c>
      <c r="O408" s="130">
        <v>1</v>
      </c>
    </row>
    <row r="409" spans="1:15" x14ac:dyDescent="0.35">
      <c r="A409" s="133" t="s">
        <v>175</v>
      </c>
      <c r="B409" s="22"/>
      <c r="C409" s="22"/>
      <c r="N409" s="130">
        <v>3</v>
      </c>
      <c r="O409" s="130">
        <v>1</v>
      </c>
    </row>
    <row r="410" spans="1:15" x14ac:dyDescent="0.35">
      <c r="A410" s="133" t="s">
        <v>175</v>
      </c>
      <c r="B410" s="22"/>
      <c r="C410" s="22"/>
      <c r="N410" s="130">
        <v>3</v>
      </c>
      <c r="O410" s="130">
        <v>1</v>
      </c>
    </row>
    <row r="411" spans="1:15" x14ac:dyDescent="0.35">
      <c r="A411" s="133" t="s">
        <v>175</v>
      </c>
      <c r="B411" s="22"/>
      <c r="C411" s="22"/>
      <c r="N411" s="130">
        <v>3</v>
      </c>
      <c r="O411" s="130">
        <v>1</v>
      </c>
    </row>
    <row r="412" spans="1:15" x14ac:dyDescent="0.35">
      <c r="A412" s="133" t="s">
        <v>175</v>
      </c>
      <c r="B412" s="22"/>
      <c r="C412" s="22"/>
      <c r="N412" s="130">
        <v>3</v>
      </c>
      <c r="O412" s="130">
        <v>1</v>
      </c>
    </row>
    <row r="413" spans="1:15" x14ac:dyDescent="0.35">
      <c r="A413" s="133" t="s">
        <v>175</v>
      </c>
      <c r="B413" s="22"/>
      <c r="C413" s="22"/>
      <c r="N413" s="130">
        <v>3</v>
      </c>
      <c r="O413" s="130">
        <v>1</v>
      </c>
    </row>
    <row r="414" spans="1:15" x14ac:dyDescent="0.35">
      <c r="A414" s="133" t="s">
        <v>175</v>
      </c>
      <c r="B414" s="22"/>
      <c r="C414" s="22"/>
      <c r="N414" s="130">
        <v>3</v>
      </c>
      <c r="O414" s="130">
        <v>1</v>
      </c>
    </row>
    <row r="415" spans="1:15" x14ac:dyDescent="0.35">
      <c r="A415" s="133" t="s">
        <v>175</v>
      </c>
      <c r="B415" s="22"/>
      <c r="C415" s="22"/>
      <c r="N415" s="130">
        <v>3</v>
      </c>
      <c r="O415" s="130">
        <v>1</v>
      </c>
    </row>
    <row r="416" spans="1:15" x14ac:dyDescent="0.35">
      <c r="A416" s="133" t="s">
        <v>175</v>
      </c>
      <c r="B416" s="22"/>
      <c r="C416" s="22"/>
      <c r="N416" s="130">
        <v>3</v>
      </c>
      <c r="O416" s="130">
        <v>1</v>
      </c>
    </row>
    <row r="417" spans="1:15" x14ac:dyDescent="0.35">
      <c r="A417" s="133" t="s">
        <v>175</v>
      </c>
      <c r="B417" s="22"/>
      <c r="C417" s="22"/>
      <c r="N417" s="130">
        <v>3</v>
      </c>
      <c r="O417" s="130">
        <v>1</v>
      </c>
    </row>
    <row r="418" spans="1:15" x14ac:dyDescent="0.35">
      <c r="A418" s="133" t="s">
        <v>175</v>
      </c>
      <c r="B418" s="22"/>
      <c r="C418" s="22"/>
      <c r="N418" s="130">
        <v>3</v>
      </c>
      <c r="O418" s="130">
        <v>1</v>
      </c>
    </row>
    <row r="419" spans="1:15" x14ac:dyDescent="0.35">
      <c r="A419" s="133" t="s">
        <v>175</v>
      </c>
      <c r="B419" s="22"/>
      <c r="C419" s="22"/>
      <c r="N419" s="130">
        <v>3</v>
      </c>
      <c r="O419" s="130">
        <v>1</v>
      </c>
    </row>
    <row r="420" spans="1:15" x14ac:dyDescent="0.35">
      <c r="A420" s="133" t="s">
        <v>175</v>
      </c>
      <c r="B420" s="22"/>
      <c r="C420" s="22"/>
      <c r="N420" s="130">
        <v>3</v>
      </c>
      <c r="O420" s="130">
        <v>1</v>
      </c>
    </row>
    <row r="421" spans="1:15" x14ac:dyDescent="0.35">
      <c r="A421" s="133" t="s">
        <v>175</v>
      </c>
      <c r="B421" s="22"/>
      <c r="C421" s="22"/>
      <c r="N421" s="130">
        <v>3</v>
      </c>
      <c r="O421" s="130">
        <v>1</v>
      </c>
    </row>
    <row r="422" spans="1:15" x14ac:dyDescent="0.35">
      <c r="A422" s="133" t="s">
        <v>175</v>
      </c>
      <c r="B422" s="22"/>
      <c r="C422" s="22"/>
      <c r="N422" s="130">
        <v>3</v>
      </c>
      <c r="O422" s="130">
        <v>1</v>
      </c>
    </row>
    <row r="423" spans="1:15" x14ac:dyDescent="0.35">
      <c r="A423" s="133" t="s">
        <v>175</v>
      </c>
      <c r="B423" s="22"/>
      <c r="C423" s="22"/>
      <c r="N423" s="130">
        <v>3</v>
      </c>
      <c r="O423" s="130">
        <v>1</v>
      </c>
    </row>
    <row r="424" spans="1:15" x14ac:dyDescent="0.35">
      <c r="A424" s="132" t="s">
        <v>175</v>
      </c>
      <c r="B424" s="22"/>
      <c r="C424" s="22"/>
      <c r="N424" s="130">
        <v>3</v>
      </c>
      <c r="O424" s="130">
        <v>1</v>
      </c>
    </row>
    <row r="425" spans="1:15" x14ac:dyDescent="0.35">
      <c r="A425" s="132" t="s">
        <v>175</v>
      </c>
      <c r="B425" s="22"/>
      <c r="C425" s="22"/>
      <c r="N425" s="130">
        <v>3</v>
      </c>
      <c r="O425" s="130">
        <v>1</v>
      </c>
    </row>
    <row r="426" spans="1:15" x14ac:dyDescent="0.35">
      <c r="A426" s="132" t="s">
        <v>175</v>
      </c>
      <c r="B426" s="22"/>
      <c r="C426" s="22"/>
      <c r="N426" s="130">
        <v>3</v>
      </c>
      <c r="O426" s="130">
        <v>1</v>
      </c>
    </row>
    <row r="427" spans="1:15" x14ac:dyDescent="0.35">
      <c r="A427" s="132" t="s">
        <v>175</v>
      </c>
      <c r="B427" s="22"/>
      <c r="C427" s="22"/>
      <c r="N427" s="130">
        <v>3</v>
      </c>
      <c r="O427" s="130">
        <v>1</v>
      </c>
    </row>
    <row r="428" spans="1:15" x14ac:dyDescent="0.35">
      <c r="A428" s="132" t="s">
        <v>175</v>
      </c>
      <c r="N428" s="130">
        <v>3</v>
      </c>
      <c r="O428" s="130">
        <v>1</v>
      </c>
    </row>
    <row r="429" spans="1:15" x14ac:dyDescent="0.35">
      <c r="A429" s="132" t="s">
        <v>175</v>
      </c>
      <c r="O429" s="130">
        <v>1</v>
      </c>
    </row>
  </sheetData>
  <mergeCells count="16">
    <mergeCell ref="B4:M4"/>
    <mergeCell ref="AJ2:AS2"/>
    <mergeCell ref="AT2:BB2"/>
    <mergeCell ref="BC2:BL2"/>
    <mergeCell ref="BW2:CA2"/>
    <mergeCell ref="Q2:T2"/>
    <mergeCell ref="U2:Y2"/>
    <mergeCell ref="Z2:AI2"/>
    <mergeCell ref="CD37:CF37"/>
    <mergeCell ref="CD38:CF38"/>
    <mergeCell ref="CD39:CF39"/>
    <mergeCell ref="CD4:CF4"/>
    <mergeCell ref="CD5:CF5"/>
    <mergeCell ref="CD6:CF6"/>
    <mergeCell ref="CD35:CF35"/>
    <mergeCell ref="CD36:CF36"/>
  </mergeCells>
  <phoneticPr fontId="21" type="noConversion"/>
  <dataValidations count="3">
    <dataValidation type="list" allowBlank="1" showInputMessage="1" showErrorMessage="1" sqref="N5:N428" xr:uid="{9CA60A5D-24F1-4E6C-A52C-A5E483458265}">
      <formula1>"1,2,3"</formula1>
    </dataValidation>
    <dataValidation type="list" allowBlank="1" showInputMessage="1" showErrorMessage="1" sqref="B5:C427 O5:O429" xr:uid="{803D9ED0-FFE9-4F2C-992A-71260E52BE1F}">
      <formula1>"1,2,3,4"</formula1>
    </dataValidation>
    <dataValidation type="list" allowBlank="1" showInputMessage="1" showErrorMessage="1" sqref="A3:A429" xr:uid="{6CA4CBF3-BB1A-4951-A475-D57C02481795}">
      <formula1>"SSA,IMS O,ISSSTE,IMSS B"</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Instructivo</vt:lpstr>
      <vt:lpstr>Formato bloqueo barrido</vt:lpstr>
      <vt:lpstr>Concentrado</vt:lpstr>
      <vt:lpstr>'Formato bloqueo barrido'!Área_de_impresión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123</dc:creator>
  <cp:lastModifiedBy>Alicia Esparza</cp:lastModifiedBy>
  <dcterms:created xsi:type="dcterms:W3CDTF">2026-03-10T22:51:13Z</dcterms:created>
  <dcterms:modified xsi:type="dcterms:W3CDTF">2026-05-04T22:32:54Z</dcterms:modified>
</cp:coreProperties>
</file>